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hryll Joy\Desktop\jobfair dole report\"/>
    </mc:Choice>
  </mc:AlternateContent>
  <bookViews>
    <workbookView xWindow="2808" yWindow="0" windowWidth="22104" windowHeight="8820" tabRatio="596"/>
  </bookViews>
  <sheets>
    <sheet name="LMI ANALYSIS" sheetId="5" r:id="rId1"/>
    <sheet name="APPLICANTS REGISTERED" sheetId="2" r:id="rId2"/>
    <sheet name="APPLICANTS REFERRED " sheetId="3" r:id="rId3"/>
    <sheet name="APPLICANTS PLACED" sheetId="4" r:id="rId4"/>
  </sheets>
  <calcPr calcId="152511"/>
  <extLst>
    <ext uri="GoogleSheetsCustomDataVersion2">
      <go:sheetsCustomData xmlns:go="http://customooxmlschemas.google.com/" r:id="rId8" roundtripDataChecksum="Wxtex3ythbchuaDDcRlf1jfrG0GKP0izApich8JSIOw="/>
    </ext>
  </extLst>
</workbook>
</file>

<file path=xl/sharedStrings.xml><?xml version="1.0" encoding="utf-8"?>
<sst xmlns="http://schemas.openxmlformats.org/spreadsheetml/2006/main" count="3757" uniqueCount="690">
  <si>
    <t>NO.</t>
  </si>
  <si>
    <t>CASHIER</t>
  </si>
  <si>
    <t>SERVICE CREW</t>
  </si>
  <si>
    <t>MONITORING FORM NO.2</t>
  </si>
  <si>
    <t>NAME OF PESO: VICTORIA S. BERIOSO</t>
  </si>
  <si>
    <t>APPLICANTS REGISTERED</t>
  </si>
  <si>
    <t>NAME OF APPLICANT</t>
  </si>
  <si>
    <t>OCCUPATION/SKILLS</t>
  </si>
  <si>
    <t>SEX</t>
  </si>
  <si>
    <t>BIRTHDATE</t>
  </si>
  <si>
    <t>AGE</t>
  </si>
  <si>
    <t>CIVIL STATUS</t>
  </si>
  <si>
    <t>EDUCATIONAL ATTAINMENT</t>
  </si>
  <si>
    <t>YRS. OF WORK EXPERIENCE</t>
  </si>
  <si>
    <t xml:space="preserve">EMPLOYMENT STATUS                               </t>
  </si>
  <si>
    <t>Female</t>
  </si>
  <si>
    <t>Single</t>
  </si>
  <si>
    <t>Employed (Others)</t>
  </si>
  <si>
    <t>SALESLADY</t>
  </si>
  <si>
    <t>Married</t>
  </si>
  <si>
    <t>ELEMENTARY GRADUATE</t>
  </si>
  <si>
    <t>MONITORING FORM NO.3</t>
  </si>
  <si>
    <t>APPLICANTS REFERRED</t>
  </si>
  <si>
    <t>MONITORING FORM NO.4</t>
  </si>
  <si>
    <t>APPLICANT PLACED</t>
  </si>
  <si>
    <t>PLACED/HIRED AS (OCCUPATION)</t>
  </si>
  <si>
    <t xml:space="preserve">                                                                                                            </t>
  </si>
  <si>
    <t>HIGH SCHOOL GRADUATE</t>
  </si>
  <si>
    <t>Male</t>
  </si>
  <si>
    <t>3RD YEAR HIGH SCHOOL</t>
  </si>
  <si>
    <t>COLLEGE GRADUATE</t>
  </si>
  <si>
    <t>1ST YEAR COLLEGE LEVEL</t>
  </si>
  <si>
    <t>VOCATIONAL GRADUATE</t>
  </si>
  <si>
    <t>VOCATIONAL UNDERGRADUATE</t>
  </si>
  <si>
    <t>4TH YEAR HIGH SCHOOL</t>
  </si>
  <si>
    <t>2ND YEAR HIGH SCHOOL</t>
  </si>
  <si>
    <t>2ND YEAR COLLEGE LEVEL</t>
  </si>
  <si>
    <t>4TH YEAR COLLEGE LEVEL</t>
  </si>
  <si>
    <t>COMPANY DRIVER</t>
  </si>
  <si>
    <t>MALE</t>
  </si>
  <si>
    <t>For the month of JANUARY 2026</t>
  </si>
  <si>
    <t>9/23/1985</t>
  </si>
  <si>
    <t>3/23/1992</t>
  </si>
  <si>
    <r>
      <rPr>
        <b/>
        <sz val="20"/>
        <color theme="1"/>
        <rFont val="Century Gothic"/>
        <family val="2"/>
      </rPr>
      <t>Monthly Labor Market Information (LMI)</t>
    </r>
    <r>
      <rPr>
        <b/>
        <sz val="16"/>
        <color theme="1"/>
        <rFont val="Century Gothic"/>
        <family val="2"/>
      </rPr>
      <t xml:space="preserve"> Statistical Analysis</t>
    </r>
  </si>
  <si>
    <t>LOGO of LGU</t>
  </si>
  <si>
    <t>Period Covered :</t>
  </si>
  <si>
    <t>Name of LGU</t>
  </si>
  <si>
    <t>Tangub City</t>
  </si>
  <si>
    <t>A. General Analysis Based on the LMI Report</t>
  </si>
  <si>
    <t>LMI Data</t>
  </si>
  <si>
    <t>No. of Vacancies Solicited</t>
  </si>
  <si>
    <t>No. of Applicants Registered</t>
  </si>
  <si>
    <t>No. of Applicants Referred</t>
  </si>
  <si>
    <t>No. of Applicants Placed</t>
  </si>
  <si>
    <t>Placement Rate</t>
  </si>
  <si>
    <t>Interpretation</t>
  </si>
  <si>
    <t xml:space="preserve"> </t>
  </si>
  <si>
    <t>B. Detailed Analysis Based on the SPRS Monthly Report</t>
  </si>
  <si>
    <t>Total No of Jobs Solicited</t>
  </si>
  <si>
    <t>Total No. of Applicants Registered</t>
  </si>
  <si>
    <t>Total No. of Applicants Referred</t>
  </si>
  <si>
    <t>Total No. of Applicants Placed</t>
  </si>
  <si>
    <t>Local</t>
  </si>
  <si>
    <t>Overseas</t>
  </si>
  <si>
    <t>Graphical Presentation of LMI Based on Monthly SPRS Report for</t>
  </si>
  <si>
    <t>according to:</t>
  </si>
  <si>
    <t>Type of Vacancy</t>
  </si>
  <si>
    <t>Applicants Registered by Sex</t>
  </si>
  <si>
    <t>Applicants Referred by Sex</t>
  </si>
  <si>
    <t>Applicants Placed by Sex</t>
  </si>
  <si>
    <t>C. Comparative monthly performance between current and previous year</t>
  </si>
  <si>
    <t>Prepared by:</t>
  </si>
  <si>
    <t>VICTORIA S. BERIOSO</t>
  </si>
  <si>
    <t>PESO Manager - Designate</t>
  </si>
  <si>
    <t>RODOLFO DEL VALLE CODILLA</t>
  </si>
  <si>
    <t>FARMING ADVISER</t>
  </si>
  <si>
    <t>4/17/1953</t>
  </si>
  <si>
    <t>ANALYN BALASI LABRADOR</t>
  </si>
  <si>
    <t>VEGETABLE FARMER</t>
  </si>
  <si>
    <t>10/28/1970</t>
  </si>
  <si>
    <t>Secondary Non K-12</t>
  </si>
  <si>
    <t>EDUARDO PORIO CORDILLA</t>
  </si>
  <si>
    <t>Car Driver</t>
  </si>
  <si>
    <t>SINGLE</t>
  </si>
  <si>
    <t>UNEMPLOYED (RESIGNED)</t>
  </si>
  <si>
    <t>VILMA TAÑEZA LABASTIDA</t>
  </si>
  <si>
    <t>6/14/1970</t>
  </si>
  <si>
    <t>MARRIED</t>
  </si>
  <si>
    <t>Unemployed (Resigned)</t>
  </si>
  <si>
    <t>RODULFO MACASLING HIDAYON JR</t>
  </si>
  <si>
    <t>CAR DRIVER</t>
  </si>
  <si>
    <t>8/26/1988</t>
  </si>
  <si>
    <t>ROSELITO AYING DIAMARE JR</t>
  </si>
  <si>
    <t>PHOTOGRAPHER (GOV)</t>
  </si>
  <si>
    <t>10/14/2002</t>
  </si>
  <si>
    <t>LOYOLA CODILLA SELMA</t>
  </si>
  <si>
    <t>SALESMAN</t>
  </si>
  <si>
    <t>AMALIA LABRADOR ORDENIZA</t>
  </si>
  <si>
    <t>2/25/1989</t>
  </si>
  <si>
    <t>ROSELIE UROT BELLAGRACIA</t>
  </si>
  <si>
    <t>6/30/1981</t>
  </si>
  <si>
    <t>SECONDARY (NON K-12)</t>
  </si>
  <si>
    <t>IAN VAN PETILUNA DIMPASO</t>
  </si>
  <si>
    <t>JAYFEL DONAYRE ASTILLERO</t>
  </si>
  <si>
    <t>PHOTOGRAPH PRINTER</t>
  </si>
  <si>
    <t>5/14/2003</t>
  </si>
  <si>
    <t>Unemployed (New entrant/fresh graduate)</t>
  </si>
  <si>
    <t>DANE RIO SALCEDO LEE</t>
  </si>
  <si>
    <t>3/13/1998</t>
  </si>
  <si>
    <t>UNEMPLOYED</t>
  </si>
  <si>
    <t>MICHAEL SEGISABAL CABALUNA</t>
  </si>
  <si>
    <t>6/25/1999</t>
  </si>
  <si>
    <t>TEMOTEO CAPUERTAS ARANGCON</t>
  </si>
  <si>
    <t>PHOTOGRAPHER (GENERAL)</t>
  </si>
  <si>
    <t>5/23/1986</t>
  </si>
  <si>
    <t>NICKO PEREZ BAGARINAO</t>
  </si>
  <si>
    <t>HYDRAULLIC BACKHOE EXCAVATOR OPERATOR</t>
  </si>
  <si>
    <t>2/13/2007</t>
  </si>
  <si>
    <t xml:space="preserve">UNEMPLOYED </t>
  </si>
  <si>
    <t>CHERLY BEJEC REBADILLO</t>
  </si>
  <si>
    <t>11/17/1999</t>
  </si>
  <si>
    <t>EDILEN FIEL QUIDET</t>
  </si>
  <si>
    <t>9/15/1978</t>
  </si>
  <si>
    <t>UNEmployed (Others)</t>
  </si>
  <si>
    <t>EMILY MAANTOS FIEL</t>
  </si>
  <si>
    <t>4/15/1991</t>
  </si>
  <si>
    <t>ELMARIE ABELIS SURDILLA</t>
  </si>
  <si>
    <t>DARLYN SABERON DAMUAG</t>
  </si>
  <si>
    <t>2/19/2000</t>
  </si>
  <si>
    <t>RAYHAMA RANAM ODASAM</t>
  </si>
  <si>
    <t>12/25/1992</t>
  </si>
  <si>
    <t>ANGELITA HERBAS MARTINEZ</t>
  </si>
  <si>
    <t>11/17/1992</t>
  </si>
  <si>
    <t>ELSA REVILLIZA NAUL</t>
  </si>
  <si>
    <t>HOTEL HOUSEKEEPING ATTENDANT</t>
  </si>
  <si>
    <t>4/13/1976</t>
  </si>
  <si>
    <t>WIDOWED</t>
  </si>
  <si>
    <t>DINDAY SAMBALON ALAYA-AY</t>
  </si>
  <si>
    <t>4/18/1976</t>
  </si>
  <si>
    <t>MARIYN LIGUTOM TURTOGO</t>
  </si>
  <si>
    <t>5/20/1989</t>
  </si>
  <si>
    <t>JOSEPH ALMONTEROS MAYORDO</t>
  </si>
  <si>
    <t>6/25/1994</t>
  </si>
  <si>
    <t>DETSIE H CARIÑOSA</t>
  </si>
  <si>
    <t>HOUSEKEEPER (PRIVATE)</t>
  </si>
  <si>
    <t>9/23/1981</t>
  </si>
  <si>
    <t>DAYLIN MANLUPIG NGUHO</t>
  </si>
  <si>
    <t>ELVEJEAN VILLARTA DEGAMO</t>
  </si>
  <si>
    <t>CAROLYN CEDENIO CAMPOREDONDO</t>
  </si>
  <si>
    <t>ANNA LIZA ABING RIZADA</t>
  </si>
  <si>
    <t>BEAUTICIAN</t>
  </si>
  <si>
    <t>JOCELYN CARPENTERO TOLOMIA</t>
  </si>
  <si>
    <t>MARILYN NAUL SARDIDO</t>
  </si>
  <si>
    <t>2/27/1987</t>
  </si>
  <si>
    <t>ANALITA PADADOR ORTIZ</t>
  </si>
  <si>
    <t>3/16/1988</t>
  </si>
  <si>
    <t>ANGELOU SABANDAL SEBANDAL</t>
  </si>
  <si>
    <t>DISPATCH RIDER</t>
  </si>
  <si>
    <t>12/31/2007</t>
  </si>
  <si>
    <t>CORAZON ENTE ABASTAS</t>
  </si>
  <si>
    <t>2/15/1976</t>
  </si>
  <si>
    <t>HONORINO ALBO TECSON</t>
  </si>
  <si>
    <t>2/27/1969</t>
  </si>
  <si>
    <t>MELITO BANLAS EBCAY JR</t>
  </si>
  <si>
    <t>CLAUDINE CAPANGPANGAN</t>
  </si>
  <si>
    <t>7/24/1998</t>
  </si>
  <si>
    <t>REO MATURAN SALIBAY</t>
  </si>
  <si>
    <t>7/19/2003</t>
  </si>
  <si>
    <t>MARGIE JAVIER BANQUIL</t>
  </si>
  <si>
    <t>3/13/1991</t>
  </si>
  <si>
    <t>SALES CLERK</t>
  </si>
  <si>
    <t>CHRISTIAN VILLEGAS ALJAS</t>
  </si>
  <si>
    <t>ORLAN OGAO-OGAO CAMPOMANES</t>
  </si>
  <si>
    <t>6/16/1993</t>
  </si>
  <si>
    <t>JEOVER ABATAYO EDIOS</t>
  </si>
  <si>
    <t>REYNOLD LABOGA JAWON</t>
  </si>
  <si>
    <t>APRIL MAE ALBATERA MANCO</t>
  </si>
  <si>
    <t>CLARESE MARGARETE GICALE GUIMBAO</t>
  </si>
  <si>
    <t>10/18/1995</t>
  </si>
  <si>
    <t>LAURENCE VAN BALBUTIN ENTE</t>
  </si>
  <si>
    <t>JEFREY ALAGENIO LUBRICA</t>
  </si>
  <si>
    <t>12/30/2005</t>
  </si>
  <si>
    <t>ANDREA CHERSTEIN SOLIS NASALITA</t>
  </si>
  <si>
    <t>CENTRAL OFFICE EQUIPMENT INSTALLER</t>
  </si>
  <si>
    <t>ROSIEL RATO PADILLO</t>
  </si>
  <si>
    <t>AISSA MALABO CAMPECIÑO</t>
  </si>
  <si>
    <t>4/13/2002</t>
  </si>
  <si>
    <t>For the month JUNE 2026</t>
  </si>
  <si>
    <t>WALTER SAYSON MANLUPIG</t>
  </si>
  <si>
    <t>CONSTRUCTION CARPENTER</t>
  </si>
  <si>
    <t>12/21/1990</t>
  </si>
  <si>
    <t>PILLAR SUHAY CABUAL</t>
  </si>
  <si>
    <t>TERESITA COSTAN ROMERO</t>
  </si>
  <si>
    <t>1/13/1975</t>
  </si>
  <si>
    <t>MARVIN MILLAN QUINONES</t>
  </si>
  <si>
    <t>CARL MANUEL DOLOTALLAS LEDESMA</t>
  </si>
  <si>
    <t>LEVIE ROSE UBAS SABERON</t>
  </si>
  <si>
    <t>VEGETABLE PRESERVER</t>
  </si>
  <si>
    <t>1/31/1994</t>
  </si>
  <si>
    <t>MARIFE CABISAY DANIEL</t>
  </si>
  <si>
    <t>9/27/1979</t>
  </si>
  <si>
    <t>JHON PAUL ABELLANA MASIC</t>
  </si>
  <si>
    <t>CHAUFFEUR/FAMILY DRIVER</t>
  </si>
  <si>
    <t>vEGETABLE PRESERVER</t>
  </si>
  <si>
    <t>2/15/2004</t>
  </si>
  <si>
    <t>ALMAR RATO ANASCO</t>
  </si>
  <si>
    <t>10/19/1998</t>
  </si>
  <si>
    <t>GERALD FLORES MEDILLO</t>
  </si>
  <si>
    <t>10/26/1991</t>
  </si>
  <si>
    <t>CALL CENTER AGENT</t>
  </si>
  <si>
    <t>JULIET TAJODA BONCO</t>
  </si>
  <si>
    <t>JEREMIAS BABA DOMEIRO</t>
  </si>
  <si>
    <t>JELLY IVAN ORDENIZA ROXAS</t>
  </si>
  <si>
    <t>EMELITO ANTIPOLO INTERVENCION</t>
  </si>
  <si>
    <t>2/14/2005</t>
  </si>
  <si>
    <t>ANGELO TAMBONG MANAWAN</t>
  </si>
  <si>
    <t>JOVIE GUTANA SERION</t>
  </si>
  <si>
    <t>1/28/2000</t>
  </si>
  <si>
    <t>JASPHER ALBURO LEGASPI</t>
  </si>
  <si>
    <t>6/30/2006</t>
  </si>
  <si>
    <t>JAMES AL LUNGAY MALANA</t>
  </si>
  <si>
    <t>9/19/2003</t>
  </si>
  <si>
    <t>MASON (GENERAL)</t>
  </si>
  <si>
    <t>JUNE MARK SABERON UGAT</t>
  </si>
  <si>
    <t>DRIVER COURIER</t>
  </si>
  <si>
    <t>EMIE ROMANDAN SABSAL</t>
  </si>
  <si>
    <t>LABORER</t>
  </si>
  <si>
    <t>VILLALUZ TORAJA ALAB</t>
  </si>
  <si>
    <t>10/31/1965</t>
  </si>
  <si>
    <t>LELANIE CASANES FLORES</t>
  </si>
  <si>
    <t>CHRISTIAN PACOT BERGOSA</t>
  </si>
  <si>
    <t>11/29/2003</t>
  </si>
  <si>
    <t>TEODEL MANDAWE ANGOG</t>
  </si>
  <si>
    <t>8/28/1993</t>
  </si>
  <si>
    <t>EMELIE DANDOY FLORES</t>
  </si>
  <si>
    <t>1/23/1990</t>
  </si>
  <si>
    <t>MILANIE DELA TORRE BANDIALA</t>
  </si>
  <si>
    <t>JOHN LLOYD SEDROME PEREZ</t>
  </si>
  <si>
    <t>11/23/2005</t>
  </si>
  <si>
    <t>JOHNAH ABATAYO PANDAN</t>
  </si>
  <si>
    <t>GELYN SABERON BACUS</t>
  </si>
  <si>
    <t>1/16/1969</t>
  </si>
  <si>
    <t>OBDULIA JINKY FERNANDEZ PAREDES</t>
  </si>
  <si>
    <t>12/18/1990</t>
  </si>
  <si>
    <t>LOURDES MAABA FERNANDEZ</t>
  </si>
  <si>
    <t>MARIA SARAH CORTEZ RAMOS</t>
  </si>
  <si>
    <t>1/13/1972</t>
  </si>
  <si>
    <t>FEVI MARIE RICABORDA BATO</t>
  </si>
  <si>
    <t>NATIVIDAD ESPINOSA BALBUENA</t>
  </si>
  <si>
    <t>CYRUS DOLINO MANLUPIG</t>
  </si>
  <si>
    <t>KENTH JOHN MALALIS YRAY</t>
  </si>
  <si>
    <t>JENIE BOY MANLUPIG PUEBLAS</t>
  </si>
  <si>
    <t>FELCONEIRI BON MONTEMOR PAQUIBOT</t>
  </si>
  <si>
    <t>11/30/2004</t>
  </si>
  <si>
    <t>JUANA SEGOVIA FERNANDEZ</t>
  </si>
  <si>
    <t>6/26/1995</t>
  </si>
  <si>
    <t>CONCHITA FUENTES VILLALON</t>
  </si>
  <si>
    <t>MARY BOY VILLABER PINUTI</t>
  </si>
  <si>
    <t>1/14/1997</t>
  </si>
  <si>
    <t>ARNEL CONSERMAN ALOTA</t>
  </si>
  <si>
    <t>8/23/1972</t>
  </si>
  <si>
    <t>NESTER MANSANADES AGAPAY</t>
  </si>
  <si>
    <t>BUS DRIVER</t>
  </si>
  <si>
    <t>10/27/1973</t>
  </si>
  <si>
    <t>DAVID SALINAS BUENBRAZO</t>
  </si>
  <si>
    <t>ISRAEL SALINAS BUENBRAZO</t>
  </si>
  <si>
    <t>12/27/2007</t>
  </si>
  <si>
    <t>DRIVER (GOV)</t>
  </si>
  <si>
    <t>ROBERTO VELARDE VELASQUEZ</t>
  </si>
  <si>
    <t>10/21/1977</t>
  </si>
  <si>
    <t>ROSELIN SALINAS VELASQUEZ</t>
  </si>
  <si>
    <t>DRY GOODS MARKET VENDOR</t>
  </si>
  <si>
    <t>3/17/1983</t>
  </si>
  <si>
    <t>RICHARD F TAMPIPI</t>
  </si>
  <si>
    <t>VOCATIONAL UNDERGRADUAT</t>
  </si>
  <si>
    <t xml:space="preserve">COLLEGE GRADUATE                                                                                       3                 EMPLOYED </t>
  </si>
  <si>
    <t>CRISEL AGOT BETACHE</t>
  </si>
  <si>
    <t>8/19/2006</t>
  </si>
  <si>
    <t>For the Month of  June 2026</t>
  </si>
  <si>
    <t>JESSA MAE PAHIT VILLAMOR</t>
  </si>
  <si>
    <t>12/29/2003</t>
  </si>
  <si>
    <t>REYMART COMPAYAN TORILLO</t>
  </si>
  <si>
    <t>REDNER LADION PRECILLAS</t>
  </si>
  <si>
    <t>MIXER DRIVER</t>
  </si>
  <si>
    <t>1/27/2007</t>
  </si>
  <si>
    <t>MARK RUILO ROBILLOS</t>
  </si>
  <si>
    <t>COMPUTER MAINTENANCE TECHNOLOGIST I (GOV)</t>
  </si>
  <si>
    <t>4/23/1997</t>
  </si>
  <si>
    <t>NEWMAN LOUIE SANGEL BIENES</t>
  </si>
  <si>
    <t>NILO REVELLEZA MANINGGO</t>
  </si>
  <si>
    <t>10/24/2002</t>
  </si>
  <si>
    <t>BERNIE SEMINE ECONAR</t>
  </si>
  <si>
    <t>8/13/1981</t>
  </si>
  <si>
    <t>WILMAR PELARCA PERALTA</t>
  </si>
  <si>
    <t>CONSTRUCTION LABORER (BUILDING)</t>
  </si>
  <si>
    <t xml:space="preserve">ALAGENIO BER JOFER </t>
  </si>
  <si>
    <t>ALFONSO GRADO ALFECHE</t>
  </si>
  <si>
    <t>5/14/1998</t>
  </si>
  <si>
    <t>IVY ROSE BERGOSA BARQUIN</t>
  </si>
  <si>
    <t>4/21/1998</t>
  </si>
  <si>
    <t>LEONORA NUENA BALASI</t>
  </si>
  <si>
    <t>2/17/1971</t>
  </si>
  <si>
    <t>ANGEL ANGON MABUANG</t>
  </si>
  <si>
    <t>ARLYN MORANTE SINANGGOTE</t>
  </si>
  <si>
    <t>2/23/1971</t>
  </si>
  <si>
    <t>RESILIZA SARNO ALBARACCIN                                         SALESLADY                                                                                                               FEMALE</t>
  </si>
  <si>
    <t>FE MARISSA DELA CRUZ DURAN                                    HOUSEKEEPER                                                                          FEMALE</t>
  </si>
  <si>
    <t>12/18/1973</t>
  </si>
  <si>
    <t>JOHN FESTY FAMILIAR FERNANDEZ</t>
  </si>
  <si>
    <t>DELIVERY DRIVER</t>
  </si>
  <si>
    <t>CONRADO D SILADA</t>
  </si>
  <si>
    <t>JOAN MOTIOS MAHINAY</t>
  </si>
  <si>
    <t>JOHN PAUL ABELLANA MASIC</t>
  </si>
  <si>
    <t>RONILO TULABING DELOS SANTOS</t>
  </si>
  <si>
    <t>4/21/2000</t>
  </si>
  <si>
    <t>MELFE TANTAN FERNANDEZ</t>
  </si>
  <si>
    <t>JOHNY LUNGAY DULIGUEZ</t>
  </si>
  <si>
    <t>CHARENCE MENESES MAGHANOY</t>
  </si>
  <si>
    <t>ENGINEERING MANAGER</t>
  </si>
  <si>
    <t>CLEMENTE MASAYON MOLO</t>
  </si>
  <si>
    <t xml:space="preserve">MARIO OMOGO CENAS                                                   HEAD PHOTOGRAPHER                                                           MALE                                                                        </t>
  </si>
  <si>
    <t>MARC VINCENT C CANDANO                                         AUTOMOTIVE ELECTRICIAN                                                     MALE</t>
  </si>
  <si>
    <t>EMANUEL SANDOVAL QUINONES</t>
  </si>
  <si>
    <t>EVE BESTO BAYADOG</t>
  </si>
  <si>
    <t>3/13/2002</t>
  </si>
  <si>
    <t>KAYLE JOSEPH CADAMPOY ENGUITO</t>
  </si>
  <si>
    <t>3/19/2003</t>
  </si>
  <si>
    <t>ARLEN MAY VILLA GRAMA LABAD</t>
  </si>
  <si>
    <t>9/25/2000</t>
  </si>
  <si>
    <t>MICHAEL MAGTO CASILAO</t>
  </si>
  <si>
    <t>6/29/1998</t>
  </si>
  <si>
    <t>FERLAN R TIONGSON</t>
  </si>
  <si>
    <t>CONCEPCION MATA LANZADO</t>
  </si>
  <si>
    <t>11/18/1998</t>
  </si>
  <si>
    <t>WILLY BALAN BUYAG</t>
  </si>
  <si>
    <t>JERA MAE DATOY ALBATERA</t>
  </si>
  <si>
    <t>3/31/1968</t>
  </si>
  <si>
    <t>RESHIEL PATIGDAS CALING</t>
  </si>
  <si>
    <t>8/15/2007</t>
  </si>
  <si>
    <t>QUEENIE LABANG DAING</t>
  </si>
  <si>
    <t>8/15/1977</t>
  </si>
  <si>
    <t>WILLA MAE MAABA MAMAS</t>
  </si>
  <si>
    <t>1/17/2008</t>
  </si>
  <si>
    <t>LARIE NACION GULAHAB</t>
  </si>
  <si>
    <t>RUBEN SEBANDAL BACALING</t>
  </si>
  <si>
    <t>VINA GINGOYON ATABAN</t>
  </si>
  <si>
    <t>1/16/1993</t>
  </si>
  <si>
    <t xml:space="preserve">RANE FUENTES ALVAREZ                                                 CAR DRIVER                                                                               MALE                                                                                                          </t>
  </si>
  <si>
    <t>SARAHLYN GOMONIT LABRADOR                                  HOUSEKEEPER                                                                          FEMALE</t>
  </si>
  <si>
    <t>1/17/1991</t>
  </si>
  <si>
    <t>ELEONOR SUSON BOYLAN</t>
  </si>
  <si>
    <t>10/18/1976</t>
  </si>
  <si>
    <t>RICA JEAN CASAS ABALES</t>
  </si>
  <si>
    <t xml:space="preserve"> 1/1/1999</t>
  </si>
  <si>
    <t>JANET TOLERO NERES</t>
  </si>
  <si>
    <t>VIRGINIA DELA CRUZ MARAGUINOT</t>
  </si>
  <si>
    <t>4/21/1971</t>
  </si>
  <si>
    <t>MARY MADELYN FIEL DEASIS</t>
  </si>
  <si>
    <t>7/23/2000</t>
  </si>
  <si>
    <t>RAMONITA CABALLES EPHAN</t>
  </si>
  <si>
    <t>2/22/1966</t>
  </si>
  <si>
    <t>ELGIE MARINDOQUE TAMBIGA</t>
  </si>
  <si>
    <t>10/19/1996</t>
  </si>
  <si>
    <t>MARK JUNE ANDOY PAREDES</t>
  </si>
  <si>
    <t>ELECTRICIAN (GOV)</t>
  </si>
  <si>
    <t>6/21/2000</t>
  </si>
  <si>
    <t>PRINCESS RENN GULANE FIEL</t>
  </si>
  <si>
    <t>3/20/2003</t>
  </si>
  <si>
    <t>9/15/2001</t>
  </si>
  <si>
    <t>RALPH ALBERT BERDON SANCHEZ</t>
  </si>
  <si>
    <t>1/20/2006</t>
  </si>
  <si>
    <t>10/15/2006</t>
  </si>
  <si>
    <t>LEONISSA ARCITE DATOY</t>
  </si>
  <si>
    <t>ALKIEN COQUILLA DISPE</t>
  </si>
  <si>
    <t>PATTERN MAKING TEXTILES MACHINE OPERATOR</t>
  </si>
  <si>
    <t>4/14/2006</t>
  </si>
  <si>
    <t>MARIBEL ROXAS PAJENTE</t>
  </si>
  <si>
    <t>12/15/1993</t>
  </si>
  <si>
    <t>MARIALIZA LASCUNA BALATERIA</t>
  </si>
  <si>
    <t>KHENHEART RENOPOL REBUCAS</t>
  </si>
  <si>
    <t>2/14/2003</t>
  </si>
  <si>
    <t>WILJE NISAS CALUMBA</t>
  </si>
  <si>
    <t>11/22/1999</t>
  </si>
  <si>
    <t>LORENZO MIGUEL B COSTANOS</t>
  </si>
  <si>
    <t>2/26/1996</t>
  </si>
  <si>
    <t>JAMES MARQUES TABANAO</t>
  </si>
  <si>
    <t>12/20/2004</t>
  </si>
  <si>
    <t>JAMES CAGAS ALBURO</t>
  </si>
  <si>
    <t>JADE PEDRITA ADLAO</t>
  </si>
  <si>
    <t>9/20/1992</t>
  </si>
  <si>
    <t>RHY ANN BERJAME SALINAS</t>
  </si>
  <si>
    <t>5/23/2004</t>
  </si>
  <si>
    <t>REDNER LADION PRICILLAS</t>
  </si>
  <si>
    <t>JAN CARLO BUCAN ABAL</t>
  </si>
  <si>
    <t>3/27/2007</t>
  </si>
  <si>
    <t>JONATHAN BURLAT SUATONA</t>
  </si>
  <si>
    <t>BUILDING ELECTRICIAN</t>
  </si>
  <si>
    <t>10/21/1997</t>
  </si>
  <si>
    <t>NOVERT ENOMAR DESMANOS</t>
  </si>
  <si>
    <t>ANDY ZIONNE BALASE CARRO</t>
  </si>
  <si>
    <t>12/15/2001</t>
  </si>
  <si>
    <t>SHEILA ALDABA LAURENTE</t>
  </si>
  <si>
    <t>8/24/2001</t>
  </si>
  <si>
    <t>PRESCILLA TAYROS ABELIDAS</t>
  </si>
  <si>
    <t>3/26/1986</t>
  </si>
  <si>
    <t>JERLYN PAUL EJE LOLONG</t>
  </si>
  <si>
    <t>9/24/2004</t>
  </si>
  <si>
    <t>MYLEN LASAGAS OLITA</t>
  </si>
  <si>
    <t>JACINTO GUMIMBA MAGALLANO</t>
  </si>
  <si>
    <t>NATIVIDAD SINGGIT EDULLANTES</t>
  </si>
  <si>
    <t>BANANA FARMER</t>
  </si>
  <si>
    <t>12/24/1943</t>
  </si>
  <si>
    <t>1/14/2011</t>
  </si>
  <si>
    <t>KESIYAH ANG EDULLANTES</t>
  </si>
  <si>
    <t>10/20/2004</t>
  </si>
  <si>
    <t>5/29/2003</t>
  </si>
  <si>
    <t>ROEL EMEMENCE MEDILLO</t>
  </si>
  <si>
    <t>6/28/2000</t>
  </si>
  <si>
    <t>JOHN FRED GANDOY MEDELLO</t>
  </si>
  <si>
    <t xml:space="preserve">KENT PHILLIP YLANNAN MAJORENOS                            COMPANY DRIVER                                                                   MALE                                                                 </t>
  </si>
  <si>
    <t>ROXAN CABANERO VILLACORTA</t>
  </si>
  <si>
    <t>PATRICK ROSAGARAN BENSI</t>
  </si>
  <si>
    <t>12/31/1997</t>
  </si>
  <si>
    <t>11/22/2002</t>
  </si>
  <si>
    <t>CLAIRE TABURADA SAQUIN</t>
  </si>
  <si>
    <t>JOHN CARL LUMA AS PADILLO</t>
  </si>
  <si>
    <t>ABACA FARMER</t>
  </si>
  <si>
    <t>MARY JANE STOMAGO FERNANDEZ</t>
  </si>
  <si>
    <t>ARTHUR ALPIS CAPUNO</t>
  </si>
  <si>
    <t>5/28/1996</t>
  </si>
  <si>
    <t>JOSEPH KENNEDY AMBA DELA CRUZ</t>
  </si>
  <si>
    <t>JEFERSON COMILAP CENAS</t>
  </si>
  <si>
    <t>7/15/2007</t>
  </si>
  <si>
    <t>KENNETH MAR LINGANAY APAO</t>
  </si>
  <si>
    <t>FOOD PREPARER</t>
  </si>
  <si>
    <t>3/14/1989</t>
  </si>
  <si>
    <t>RONALD EDDULANTES SUERTE</t>
  </si>
  <si>
    <t>8/27/1994</t>
  </si>
  <si>
    <t>ELSIE SILABAY DOLLANTES</t>
  </si>
  <si>
    <t>VONIE CARL UTTHO MANUNDAY</t>
  </si>
  <si>
    <t>11/29/2004</t>
  </si>
  <si>
    <t>12/22/1986</t>
  </si>
  <si>
    <t>JULIET BUAC MABESA</t>
  </si>
  <si>
    <t>FOOD REPACKER</t>
  </si>
  <si>
    <t>7/13/2000</t>
  </si>
  <si>
    <t>VIRGILY UGMAD MANGRUBAN</t>
  </si>
  <si>
    <t>JUDILYN GUMANBAN DECINAN</t>
  </si>
  <si>
    <t>JILKIE BAYLOSIS TAMAYO</t>
  </si>
  <si>
    <t>6/18/2006</t>
  </si>
  <si>
    <t>5/13/1968</t>
  </si>
  <si>
    <t>ADORA MARCELO ASWE</t>
  </si>
  <si>
    <t>JECHRIS BETACURA BALOS</t>
  </si>
  <si>
    <t>JESREEL VILLAFUERTE GENOVA</t>
  </si>
  <si>
    <t>11/20/2000</t>
  </si>
  <si>
    <t>FE PABALAY OPAMEN</t>
  </si>
  <si>
    <t>KESSA MAE ALFORQUE TAMBOBOY</t>
  </si>
  <si>
    <t>9/24/2001</t>
  </si>
  <si>
    <t>5/26/2001</t>
  </si>
  <si>
    <t>2/28/1980</t>
  </si>
  <si>
    <t>9/23/1998</t>
  </si>
  <si>
    <t>JURIE JAE MORALES DUMPA</t>
  </si>
  <si>
    <t>7/22/1997</t>
  </si>
  <si>
    <t>JENELYN SUBSUBAN CANE</t>
  </si>
  <si>
    <t>9/28/2000</t>
  </si>
  <si>
    <t>JOSEPHINE BANAT PLUTIÑA</t>
  </si>
  <si>
    <t>1/14/2002</t>
  </si>
  <si>
    <t xml:space="preserve">MARJUN REY ABSIN `LAURETE                                       COMPANY DRIVER                                                                    MALE                                   </t>
  </si>
  <si>
    <t>INES LANTICSE RECIMULO                                               HOUSEKEEPER (PRIVATE)                                                       FEMALE                          FEMALE</t>
  </si>
  <si>
    <t>ALMA TOLOMIA NARCISO                                               HOUSEKEEPER (PRIVATE)                                                       FEMALE                          FEMALE</t>
  </si>
  <si>
    <t xml:space="preserve">JOHNIE ORTEGA PUTOT                                                  DRIVER COURIER                                                                        MALE                           </t>
  </si>
  <si>
    <t xml:space="preserve">HELIROSE PERMALE ABOBOT                                         SALESLADY                                                                                FEMALE                                                                 </t>
  </si>
  <si>
    <t xml:space="preserve">ANNELYN DELA CRUZ PALOMARES                               SALESLADY                                                                                FEMALE                                                                         </t>
  </si>
  <si>
    <t xml:space="preserve">RONNEL ANGHAG RUPINTA                                          COMPANY DRIVER                                                                    FEMALE                                                                                      </t>
  </si>
  <si>
    <t xml:space="preserve">FE RITCHEL ANNE CANDANO ABATAYO                        SALESLADY                                                                                FEMALE                                                                            </t>
  </si>
  <si>
    <t xml:space="preserve">RICHARD JAKOSALEM EBINA                                         CAR DRIVER                                                                               FEMALE                                                                         </t>
  </si>
  <si>
    <t xml:space="preserve">RENEBOY BUAC HAMILI                                                  CAR DRIVER                                                                               MALE                                  </t>
  </si>
  <si>
    <t xml:space="preserve">CLAUDINE C OMALAY                                                      SALESLADY                                                                                FEMALE                                                                                            </t>
  </si>
  <si>
    <t>AYVIE GRACE HANDUGAN TAGDULANG</t>
  </si>
  <si>
    <t>6/27/2000</t>
  </si>
  <si>
    <t>8/22/2003</t>
  </si>
  <si>
    <t>11/29/1999</t>
  </si>
  <si>
    <t>CHERYL BERJAME PORMENTO</t>
  </si>
  <si>
    <t>CHRISMARIE ADORABLE MAHINAY</t>
  </si>
  <si>
    <t>7/27/1980</t>
  </si>
  <si>
    <t>FRELIN PELONGO CANAYA</t>
  </si>
  <si>
    <t xml:space="preserve"> 4/9/1989</t>
  </si>
  <si>
    <t>RICHARD CENAS FERNANDEZ</t>
  </si>
  <si>
    <t>MARIA LICA PASTOR NANO</t>
  </si>
  <si>
    <t>5/29/1998</t>
  </si>
  <si>
    <t>4/24/2006</t>
  </si>
  <si>
    <t>JOEY DEL VALLE BRIGONDO</t>
  </si>
  <si>
    <t>RAY ANN CARRIAGA ALBON                                            FOOD PREPARER                                                                      MALE</t>
  </si>
  <si>
    <t xml:space="preserve">JASON PANG AN EGAM                                                   CAR DRIVER                                                                              MALE                                                                  </t>
  </si>
  <si>
    <t xml:space="preserve">MARIA THERESA DAGAMAC PAJARA                             SALESLADY                                                                                FEMALE                                                                                         </t>
  </si>
  <si>
    <t xml:space="preserve">EUGENE GABO PANDAN                                                 DRIVER COURIER I (GOV)                                                          MALE                                                                  </t>
  </si>
  <si>
    <t xml:space="preserve">JEMIMAH ANG EDULLANTES                                          SALESLADY                                                                                FEMALE                                                                                                                                                                                                  </t>
  </si>
  <si>
    <t>SECONDARY K-12</t>
  </si>
  <si>
    <t>SECONDARY NON K-12</t>
  </si>
  <si>
    <t>2ND YEAR COLLEGE</t>
  </si>
  <si>
    <t xml:space="preserve">GRADE 10 </t>
  </si>
  <si>
    <t>LOEJIE CANLOM CARRIAGA</t>
  </si>
  <si>
    <t>WELL DRILLER</t>
  </si>
  <si>
    <t>5/24/2004</t>
  </si>
  <si>
    <t>22+E164:F198E164:E164:F233</t>
  </si>
  <si>
    <t>SECONDARY (K-12)</t>
  </si>
  <si>
    <t>2 years</t>
  </si>
  <si>
    <t>Employed (Wage employed)</t>
  </si>
  <si>
    <t>BENSON JAMES CAPAPAS PADEN</t>
  </si>
  <si>
    <t>7/21/2003</t>
  </si>
  <si>
    <t>2 years 3 months</t>
  </si>
  <si>
    <t>JEZHA MAE ALBO FUENTES</t>
  </si>
  <si>
    <t>4 years 3 months</t>
  </si>
  <si>
    <t>JAMES IAN AYUNGAO GABICA</t>
  </si>
  <si>
    <t>10/20/2003</t>
  </si>
  <si>
    <t>MARK  PASULOT TUASTOMBAN</t>
  </si>
  <si>
    <t>9/30/2006</t>
  </si>
  <si>
    <t>1 year 3 months</t>
  </si>
  <si>
    <t>NECIL NOVISIS PROCORATO</t>
  </si>
  <si>
    <t>10/21/2001</t>
  </si>
  <si>
    <t>2 years 6 months</t>
  </si>
  <si>
    <t>RUDY MAE BADAYOS MABAO</t>
  </si>
  <si>
    <t>10/14/2004</t>
  </si>
  <si>
    <t>1 year 9 months</t>
  </si>
  <si>
    <t>JEMBOY SUMAYANG FERNANDEZ</t>
  </si>
  <si>
    <t>1/14/2001</t>
  </si>
  <si>
    <t>2 years 9 months</t>
  </si>
  <si>
    <t>HONEYLYN LARIDE PLANG AY</t>
  </si>
  <si>
    <t>KID SORONIO VIOS</t>
  </si>
  <si>
    <t>5 years</t>
  </si>
  <si>
    <t>KHENT BRYAN ALICO LAQUINTE</t>
  </si>
  <si>
    <t>11/26/2004</t>
  </si>
  <si>
    <t>MARK GIL MAG-ABO</t>
  </si>
  <si>
    <t>OOD-DRUG INSPECTOR (G0V)</t>
  </si>
  <si>
    <t>2/24/1994</t>
  </si>
  <si>
    <t>4 years 6 months</t>
  </si>
  <si>
    <t>JONIEL FUENTES SANTARITA</t>
  </si>
  <si>
    <t>2/24/2001</t>
  </si>
  <si>
    <t>4TH YEAR HIGH SCHOOL/GRADE X (FOR K TO 12)</t>
  </si>
  <si>
    <t>JASON OBO VELASCO</t>
  </si>
  <si>
    <t>9/23/2001</t>
  </si>
  <si>
    <t>RUEL BANAWA SEGUNDINO</t>
  </si>
  <si>
    <t>4/23/2002</t>
  </si>
  <si>
    <t>MIKE ANGELOU TANGKAY MAGHANOY</t>
  </si>
  <si>
    <t>2/29/2000</t>
  </si>
  <si>
    <t>3 years</t>
  </si>
  <si>
    <t>JHON RICA GABONADA TABUNON</t>
  </si>
  <si>
    <t>EAR LYN MAE BATERNA DINAWANAO</t>
  </si>
  <si>
    <t>3/13/2001</t>
  </si>
  <si>
    <t>ANGELO BELANO OPLADO</t>
  </si>
  <si>
    <t>9/19/2002</t>
  </si>
  <si>
    <t>REA MANGGALON TAGUAMAS</t>
  </si>
  <si>
    <t>JERAMIE O. RETUYA</t>
  </si>
  <si>
    <t>2/15/2001</t>
  </si>
  <si>
    <t>IRISH MANZANO MADLUS</t>
  </si>
  <si>
    <t>3 years 3 months</t>
  </si>
  <si>
    <t>MARKRIO TAJADA ESTARES</t>
  </si>
  <si>
    <t>3/14/2001</t>
  </si>
  <si>
    <t>JOAN FRANCIS BRIOSO PALANGAN</t>
  </si>
  <si>
    <t>ARVIN PACQUIAO VILLEGAS</t>
  </si>
  <si>
    <t>RENOWEN ANTONIO DELOSA</t>
  </si>
  <si>
    <t>2/19/1988</t>
  </si>
  <si>
    <t>MARY JOY SALIPDAN VILLEGAS</t>
  </si>
  <si>
    <t>12/23/2007</t>
  </si>
  <si>
    <t>1 year</t>
  </si>
  <si>
    <t>KART NATANIEL C. SUERTE</t>
  </si>
  <si>
    <t>2/20/2003</t>
  </si>
  <si>
    <t>MARY ANN D. ONTOLAN</t>
  </si>
  <si>
    <t>6/27/2001</t>
  </si>
  <si>
    <t>RIZA CORTEZ LADING</t>
  </si>
  <si>
    <t>6/21/1996</t>
  </si>
  <si>
    <t>3RD YEAR HIGH SCHOOL/GRADE IX (FOR K TO 12)</t>
  </si>
  <si>
    <t>4 years</t>
  </si>
  <si>
    <t>KARIF SABERON ABELIDOS</t>
  </si>
  <si>
    <t>9/26/2003</t>
  </si>
  <si>
    <t>ALBERT JHON T GILLA</t>
  </si>
  <si>
    <t>DEAVEN SABAYLE MALINAO</t>
  </si>
  <si>
    <t>4/25/2001</t>
  </si>
  <si>
    <t>JUNEL MACALISANG AGUAVIVA</t>
  </si>
  <si>
    <t>COMPUTER NETWORK TECHNICIAN</t>
  </si>
  <si>
    <t>6/16/2001</t>
  </si>
  <si>
    <t>ERVIN SUMAGANG DENIEGA</t>
  </si>
  <si>
    <t>1/15/2003</t>
  </si>
  <si>
    <t>JESIL ELLO TANTANO</t>
  </si>
  <si>
    <t>6/22/2000</t>
  </si>
  <si>
    <t>ZACARIAS DEGAYO ELORDE</t>
  </si>
  <si>
    <t>3/23/2001</t>
  </si>
  <si>
    <t>DALIA APRIL SITON LARGO</t>
  </si>
  <si>
    <t>SHIELA MAE DAYANAN DORIG</t>
  </si>
  <si>
    <t>1/25/2004</t>
  </si>
  <si>
    <t>LENDIE JEAN TIGOL ENOT</t>
  </si>
  <si>
    <t>KEEM LASCOÑA RESEMOLO</t>
  </si>
  <si>
    <t>11/14/1999</t>
  </si>
  <si>
    <t>ANDRIE BENDIJO MANZANO</t>
  </si>
  <si>
    <t>1/31/2007</t>
  </si>
  <si>
    <t>ARNEL ALBARRACIN CALISO</t>
  </si>
  <si>
    <t>CLAIMS INSPECTOR</t>
  </si>
  <si>
    <t>ARLY RECIMULO ADIGUE</t>
  </si>
  <si>
    <t>EXECUTIVE LABOR ARBITER (GOV)</t>
  </si>
  <si>
    <t>7/21/1989</t>
  </si>
  <si>
    <t>SWEETIEMAE VINA YAMARO</t>
  </si>
  <si>
    <t>5/31/1993</t>
  </si>
  <si>
    <t>4 years 9 months</t>
  </si>
  <si>
    <t>ROSALYN SABAS EJERCITO</t>
  </si>
  <si>
    <t>8/28/2005</t>
  </si>
  <si>
    <t>1 year 6 months</t>
  </si>
  <si>
    <t>JP JADE R LOFRANCO</t>
  </si>
  <si>
    <t>10/20/1998</t>
  </si>
  <si>
    <t>ANNA ROSE R CUEVAS</t>
  </si>
  <si>
    <t>10/25/2002</t>
  </si>
  <si>
    <t>JONNAVEL CAMPOMANES DIZON</t>
  </si>
  <si>
    <t>12/29/1999</t>
  </si>
  <si>
    <t>QUEENSTYN ENGANO MANLANGIT</t>
  </si>
  <si>
    <t>IAN JAY RADA DELA CALSADA</t>
  </si>
  <si>
    <t>6/23/2002</t>
  </si>
  <si>
    <t>MARIA DECELOU DIEZ ANO-OS</t>
  </si>
  <si>
    <t>SHIELA MAE TARIO BULANDRES</t>
  </si>
  <si>
    <t>12/29/2005</t>
  </si>
  <si>
    <t>MARJAMIE GEALON OCER</t>
  </si>
  <si>
    <t>4/29/2002</t>
  </si>
  <si>
    <t>JANE ARANZADO LLEMIT</t>
  </si>
  <si>
    <t>10/16/2001</t>
  </si>
  <si>
    <t>ZYRA JEAN BONGCALES AUXTERO</t>
  </si>
  <si>
    <t>2/16/1999</t>
  </si>
  <si>
    <t>MARK WILLE B OBERES</t>
  </si>
  <si>
    <t>5/22/2002</t>
  </si>
  <si>
    <t>APRIL ROSE SOLIS ALDOHESA</t>
  </si>
  <si>
    <t>4/13/1993</t>
  </si>
  <si>
    <t>RACJUN TORTOGO SOLIS</t>
  </si>
  <si>
    <t>JAYMART B DELOS REYES</t>
  </si>
  <si>
    <t>ELECTRICAL EQUIPMENT ASSEMBLER</t>
  </si>
  <si>
    <t>6/17/2002</t>
  </si>
  <si>
    <t>JUNREL PEDRITA RODRIGUEZ</t>
  </si>
  <si>
    <t>JUNJIE PEDRITA LUMBATAN</t>
  </si>
  <si>
    <t>7/25/1982</t>
  </si>
  <si>
    <t>PETER VILLACAMPO MATCHITE</t>
  </si>
  <si>
    <t>BOTTLE SORTER</t>
  </si>
  <si>
    <t>6/27/1982</t>
  </si>
  <si>
    <t>CHERRIE JEAN GALLANTES SUSON</t>
  </si>
  <si>
    <t>MARVIN EBASAN CABAÑAS</t>
  </si>
  <si>
    <t>KENN JAY LOPEZ MANAGAYTAY</t>
  </si>
  <si>
    <t>10/21/2004</t>
  </si>
  <si>
    <t>WINSTON QUIMBO BAZAR</t>
  </si>
  <si>
    <t>ZORRO CHRISTIAN METZ PERALES LAPINIG</t>
  </si>
  <si>
    <t>4/27/2005</t>
  </si>
  <si>
    <t>JOSHUA PENAESCOCIA EMORICHA</t>
  </si>
  <si>
    <t>12/19/1989</t>
  </si>
  <si>
    <t>JESEMIE CALDO BATE</t>
  </si>
  <si>
    <t>3RD YEAR COLLEGE LEVEL</t>
  </si>
  <si>
    <t>NELSON SARN PADILLA</t>
  </si>
  <si>
    <t>3 years 6 months</t>
  </si>
  <si>
    <t>MARY ANN TALINGUES NATRIVIDAD</t>
  </si>
  <si>
    <t>IVAN FUENTES RODRIGUEZ</t>
  </si>
  <si>
    <t>10/16/1999</t>
  </si>
  <si>
    <t>OLIV S LABANG</t>
  </si>
  <si>
    <t>5/22/2004</t>
  </si>
  <si>
    <t>EMMANUEL SANDOVAL QUINONES</t>
  </si>
  <si>
    <t>JEINEVELLE ROSE CUAJOTOR VASAYLAJE</t>
  </si>
  <si>
    <t>8/22/2002</t>
  </si>
  <si>
    <t>LEEBETH BOSMION LEGARA</t>
  </si>
  <si>
    <t>3/23/2003</t>
  </si>
  <si>
    <t>LEONILYN ALBATERA SAYSON</t>
  </si>
  <si>
    <t>JANICE ANN BALAGA PLUTIÑA</t>
  </si>
  <si>
    <t>4/19/1981</t>
  </si>
  <si>
    <t>RAMIL ALBATERA ALBATERA RODRIGUEZ JR</t>
  </si>
  <si>
    <t>FRONT DESK</t>
  </si>
  <si>
    <t>BAGGER</t>
  </si>
  <si>
    <t>SALES LADY</t>
  </si>
  <si>
    <t>ADMIN AIDE</t>
  </si>
  <si>
    <t>BABY SITTER</t>
  </si>
  <si>
    <t>MARIA THERESA DAGAMAC PAJARA                             SALESLADY                                                                                FEMALE</t>
  </si>
  <si>
    <t>CLAUDINE C OMALAY                                                      SALESLADY                                                                                FEMALE</t>
  </si>
  <si>
    <t>EUGENE GABO PANDAN                                                 DRIVER COURIER I (GOV)                                                          MALE</t>
  </si>
  <si>
    <t>HELIROSE PERMALE ABOBOT                                         SALESLADY                                                                                FEMALE</t>
  </si>
  <si>
    <t>JOHNIE ORTEGA PUTOT                                                  DRIVER COURIER                                                                        MALE</t>
  </si>
  <si>
    <t>MARIO OMOGO CENAS                                                   HEAD PHOTOGRAPHER                                                           MALE</t>
  </si>
  <si>
    <t>MARJUN REY ABSIN `LAURETE                                       COMPANY DRIVER                                                                    MALE</t>
  </si>
  <si>
    <t>RANE FUENTES ALVAREZ                                                 CAR DRIVER                                                                               MALE</t>
  </si>
  <si>
    <t>RENEBOY BUAC HAMILI                                                  CAR DRIVER                                                                               MALE</t>
  </si>
  <si>
    <t>RICHARD JAKOSALEM EBINA                                         CAR DRIVER                                                                               FEMALE</t>
  </si>
  <si>
    <t>RONNEL ANGHAG RUPINTA                                          COMPANY DRIVER                                                                    FEMALE</t>
  </si>
  <si>
    <t>JASON PANG AN EGAM                                                   CAR DRIVER                                                                              MALE</t>
  </si>
  <si>
    <t>FE RITCHEL ANNE CANDANO ABATAYO                        SALESLADY                                                                                FEMALE</t>
  </si>
  <si>
    <t>ANNELYN DELA CRUZ PALOMARES                               SALESLADY                                                                                FEMALE</t>
  </si>
  <si>
    <t>KENT PHILLIP YLANNAN MAJORENOS                            COMPANY DRIVER                                                                   MALE</t>
  </si>
  <si>
    <t>JEMIMAH ANG EDULLANTES                                          SALESLADY                                                                                FEMALE</t>
  </si>
  <si>
    <t>ALAGENIO BER JOFER</t>
  </si>
  <si>
    <t>Of the  320 job vacancies solicited, 311 applicants registered for the said vacancies. And of the 311 applicants referred for employment,  301 were placed. The placement rate is 96.78%</t>
  </si>
  <si>
    <t>JUNE 2026</t>
  </si>
  <si>
    <t>The above data shows that majority of the job vacancies solicited for the month of JUNE 2026  is local at 96.78%. As to sex disaggregation, majority of the applicants registered were male ( 52%), majority of the applicants referred were male (52%), and majority of the applicants placed were male (52%).</t>
  </si>
  <si>
    <t>Based on the herein comparative data, the placement rate for PESO Tangub for the month of June 2026 is 96.78%  the  same  as compared to year 2025. Most of the placement a by the LGU.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</si>
</sst>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4">
    <font>
      <sz val="11"/>
      <color theme="1"/>
      <name val="Calibri"/>
      <scheme val="minor"/>
    </font>
    <font>
      <sz val="11"/>
      <color theme="1"/>
      <name val="Arial"/>
      <family val="2"/>
    </font>
    <font>
      <sz val="16"/>
      <color theme="1"/>
      <name val="Arial Black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0"/>
      <color rgb="FF000000"/>
      <name val="Arial"/>
      <family val="2"/>
    </font>
    <font>
      <sz val="12"/>
      <color theme="5"/>
      <name val="Calibri"/>
      <family val="2"/>
    </font>
    <font>
      <sz val="11"/>
      <color rgb="FF333333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Times New Roman"/>
      <family val="1"/>
    </font>
    <font>
      <b/>
      <sz val="14"/>
      <color rgb="FF333333"/>
      <name val="Calibri"/>
      <family val="2"/>
    </font>
    <font>
      <sz val="14"/>
      <color rgb="FF333333"/>
      <name val="Calibri"/>
      <family val="2"/>
    </font>
    <font>
      <sz val="11"/>
      <color rgb="FF333333"/>
      <name val="Calibri"/>
      <family val="2"/>
    </font>
    <font>
      <sz val="10"/>
      <color rgb="FF333333"/>
      <name val="Arial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&quot;Times New Roman&quot;"/>
    </font>
    <font>
      <sz val="12"/>
      <color rgb="FF000000"/>
      <name val="&quot;Times New Roman&quot;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b/>
      <sz val="20"/>
      <color theme="1"/>
      <name val="Century Gothic"/>
      <family val="2"/>
    </font>
    <font>
      <b/>
      <sz val="11"/>
      <color rgb="FFFF0000"/>
      <name val="Century Gothic"/>
      <family val="2"/>
    </font>
    <font>
      <b/>
      <sz val="10"/>
      <color rgb="FF0070C0"/>
      <name val="Bahnschrift"/>
      <family val="2"/>
    </font>
    <font>
      <b/>
      <sz val="14"/>
      <color rgb="FF0070C0"/>
      <name val="Century Gothic"/>
      <family val="2"/>
    </font>
    <font>
      <b/>
      <sz val="14"/>
      <color theme="1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b/>
      <sz val="12"/>
      <color rgb="FF333333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1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5" fillId="0" borderId="0" applyFont="0" applyFill="0" applyBorder="0" applyAlignment="0" applyProtection="0"/>
  </cellStyleXfs>
  <cellXfs count="143">
    <xf numFmtId="0" fontId="0" fillId="0" borderId="0" xfId="0"/>
    <xf numFmtId="0" fontId="1" fillId="0" borderId="0" xfId="0" applyFont="1"/>
    <xf numFmtId="0" fontId="5" fillId="0" borderId="5" xfId="0" applyFont="1" applyBorder="1"/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7" fillId="0" borderId="5" xfId="0" applyFont="1" applyBorder="1"/>
    <xf numFmtId="0" fontId="8" fillId="0" borderId="0" xfId="0" applyFont="1"/>
    <xf numFmtId="0" fontId="9" fillId="0" borderId="5" xfId="0" applyFont="1" applyBorder="1"/>
    <xf numFmtId="0" fontId="9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/>
    </xf>
    <xf numFmtId="0" fontId="14" fillId="0" borderId="7" xfId="0" applyFont="1" applyBorder="1" applyAlignment="1">
      <alignment vertical="center"/>
    </xf>
    <xf numFmtId="0" fontId="14" fillId="0" borderId="7" xfId="0" applyFont="1" applyBorder="1" applyAlignment="1">
      <alignment horizontal="center" vertical="center" wrapText="1"/>
    </xf>
    <xf numFmtId="0" fontId="6" fillId="0" borderId="0" xfId="0" applyFont="1"/>
    <xf numFmtId="0" fontId="15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6" fillId="0" borderId="0" xfId="0" applyFont="1"/>
    <xf numFmtId="0" fontId="1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5" fillId="0" borderId="0" xfId="0" applyFont="1"/>
    <xf numFmtId="0" fontId="4" fillId="3" borderId="6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4" fillId="0" borderId="3" xfId="0" applyFont="1" applyBorder="1"/>
    <xf numFmtId="0" fontId="4" fillId="0" borderId="5" xfId="0" applyFont="1" applyBorder="1" applyAlignment="1">
      <alignment vertical="center"/>
    </xf>
    <xf numFmtId="0" fontId="4" fillId="0" borderId="8" xfId="0" applyFont="1" applyBorder="1"/>
    <xf numFmtId="0" fontId="9" fillId="0" borderId="4" xfId="0" applyFont="1" applyBorder="1"/>
    <xf numFmtId="0" fontId="7" fillId="0" borderId="4" xfId="0" applyFont="1" applyBorder="1"/>
    <xf numFmtId="0" fontId="9" fillId="0" borderId="8" xfId="0" applyFont="1" applyBorder="1"/>
    <xf numFmtId="0" fontId="10" fillId="0" borderId="9" xfId="0" applyFont="1" applyBorder="1" applyAlignment="1">
      <alignment horizontal="center"/>
    </xf>
    <xf numFmtId="0" fontId="0" fillId="0" borderId="6" xfId="0" applyBorder="1"/>
    <xf numFmtId="0" fontId="9" fillId="0" borderId="6" xfId="0" applyFont="1" applyBorder="1" applyAlignment="1">
      <alignment horizontal="center"/>
    </xf>
    <xf numFmtId="0" fontId="9" fillId="0" borderId="6" xfId="0" applyFont="1" applyBorder="1"/>
    <xf numFmtId="0" fontId="9" fillId="0" borderId="6" xfId="0" applyFont="1" applyBorder="1" applyAlignment="1">
      <alignment horizontal="left"/>
    </xf>
    <xf numFmtId="0" fontId="7" fillId="0" borderId="6" xfId="0" applyFont="1" applyBorder="1"/>
    <xf numFmtId="0" fontId="11" fillId="0" borderId="6" xfId="0" applyFont="1" applyBorder="1"/>
    <xf numFmtId="0" fontId="24" fillId="0" borderId="9" xfId="0" applyFont="1" applyBorder="1" applyAlignment="1">
      <alignment horizontal="right"/>
    </xf>
    <xf numFmtId="0" fontId="5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vertical="center"/>
    </xf>
    <xf numFmtId="0" fontId="4" fillId="0" borderId="7" xfId="0" applyFont="1" applyBorder="1"/>
    <xf numFmtId="0" fontId="9" fillId="0" borderId="9" xfId="0" applyFont="1" applyBorder="1" applyAlignment="1">
      <alignment horizontal="center" vertical="center"/>
    </xf>
    <xf numFmtId="0" fontId="12" fillId="0" borderId="10" xfId="0" applyFont="1" applyBorder="1"/>
    <xf numFmtId="0" fontId="9" fillId="0" borderId="6" xfId="0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0" fillId="0" borderId="0" xfId="0" applyAlignment="1">
      <alignment horizontal="right"/>
    </xf>
    <xf numFmtId="0" fontId="26" fillId="0" borderId="0" xfId="0" applyFont="1"/>
    <xf numFmtId="0" fontId="32" fillId="0" borderId="0" xfId="0" applyFont="1"/>
    <xf numFmtId="0" fontId="26" fillId="5" borderId="9" xfId="0" applyFont="1" applyFill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26" fillId="0" borderId="0" xfId="0" applyFont="1" applyAlignment="1">
      <alignment vertical="center"/>
    </xf>
    <xf numFmtId="0" fontId="34" fillId="0" borderId="11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9" fontId="26" fillId="0" borderId="0" xfId="1" applyFont="1"/>
    <xf numFmtId="0" fontId="33" fillId="0" borderId="0" xfId="0" applyFont="1"/>
    <xf numFmtId="10" fontId="33" fillId="0" borderId="9" xfId="1" applyNumberFormat="1" applyFont="1" applyBorder="1" applyAlignment="1"/>
    <xf numFmtId="0" fontId="9" fillId="0" borderId="19" xfId="0" applyFont="1" applyBorder="1"/>
    <xf numFmtId="0" fontId="9" fillId="0" borderId="8" xfId="0" applyFont="1" applyBorder="1" applyAlignment="1">
      <alignment horizontal="center"/>
    </xf>
    <xf numFmtId="0" fontId="9" fillId="0" borderId="8" xfId="0" applyFont="1" applyBorder="1" applyAlignment="1">
      <alignment horizontal="left"/>
    </xf>
    <xf numFmtId="0" fontId="9" fillId="0" borderId="8" xfId="0" applyFont="1" applyBorder="1" applyAlignment="1">
      <alignment horizontal="right"/>
    </xf>
    <xf numFmtId="0" fontId="10" fillId="0" borderId="20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37" fillId="4" borderId="9" xfId="0" applyFont="1" applyFill="1" applyBorder="1" applyAlignment="1">
      <alignment horizontal="center" vertical="top" wrapText="1"/>
    </xf>
    <xf numFmtId="14" fontId="37" fillId="0" borderId="9" xfId="0" applyNumberFormat="1" applyFont="1" applyBorder="1" applyAlignment="1">
      <alignment horizontal="center"/>
    </xf>
    <xf numFmtId="0" fontId="37" fillId="4" borderId="9" xfId="0" applyFont="1" applyFill="1" applyBorder="1" applyAlignment="1">
      <alignment horizontal="center" vertical="top"/>
    </xf>
    <xf numFmtId="14" fontId="37" fillId="4" borderId="9" xfId="0" applyNumberFormat="1" applyFont="1" applyFill="1" applyBorder="1" applyAlignment="1">
      <alignment horizontal="center" vertical="top" wrapText="1"/>
    </xf>
    <xf numFmtId="0" fontId="38" fillId="0" borderId="5" xfId="0" applyFont="1" applyBorder="1" applyAlignment="1">
      <alignment horizontal="right"/>
    </xf>
    <xf numFmtId="0" fontId="39" fillId="0" borderId="9" xfId="0" applyFont="1" applyBorder="1" applyAlignment="1">
      <alignment horizontal="center"/>
    </xf>
    <xf numFmtId="0" fontId="40" fillId="0" borderId="9" xfId="0" applyFont="1" applyBorder="1" applyAlignment="1">
      <alignment horizontal="center"/>
    </xf>
    <xf numFmtId="0" fontId="40" fillId="0" borderId="9" xfId="0" applyFont="1" applyBorder="1" applyAlignment="1">
      <alignment horizontal="center" vertical="top" wrapText="1"/>
    </xf>
    <xf numFmtId="14" fontId="18" fillId="2" borderId="10" xfId="0" applyNumberFormat="1" applyFont="1" applyFill="1" applyBorder="1" applyAlignment="1">
      <alignment horizontal="center" vertical="center" wrapText="1"/>
    </xf>
    <xf numFmtId="14" fontId="18" fillId="3" borderId="10" xfId="0" applyNumberFormat="1" applyFont="1" applyFill="1" applyBorder="1" applyAlignment="1">
      <alignment horizontal="center" vertical="center" wrapText="1"/>
    </xf>
    <xf numFmtId="14" fontId="19" fillId="0" borderId="10" xfId="0" applyNumberFormat="1" applyFont="1" applyBorder="1" applyAlignment="1">
      <alignment horizontal="center" vertical="center" wrapText="1"/>
    </xf>
    <xf numFmtId="14" fontId="20" fillId="3" borderId="10" xfId="0" applyNumberFormat="1" applyFont="1" applyFill="1" applyBorder="1" applyAlignment="1">
      <alignment horizontal="center" vertical="center" wrapText="1"/>
    </xf>
    <xf numFmtId="14" fontId="21" fillId="0" borderId="10" xfId="0" applyNumberFormat="1" applyFont="1" applyBorder="1" applyAlignment="1">
      <alignment horizontal="center" vertical="top"/>
    </xf>
    <xf numFmtId="14" fontId="22" fillId="3" borderId="10" xfId="0" applyNumberFormat="1" applyFont="1" applyFill="1" applyBorder="1" applyAlignment="1">
      <alignment horizontal="center" vertical="top"/>
    </xf>
    <xf numFmtId="0" fontId="12" fillId="2" borderId="10" xfId="0" applyFont="1" applyFill="1" applyBorder="1" applyAlignment="1">
      <alignment vertical="top" wrapText="1"/>
    </xf>
    <xf numFmtId="0" fontId="12" fillId="0" borderId="19" xfId="0" applyFont="1" applyBorder="1"/>
    <xf numFmtId="0" fontId="12" fillId="0" borderId="4" xfId="0" applyFont="1" applyBorder="1"/>
    <xf numFmtId="0" fontId="12" fillId="2" borderId="4" xfId="0" applyFont="1" applyFill="1" applyBorder="1" applyAlignment="1">
      <alignment vertical="top" wrapText="1"/>
    </xf>
    <xf numFmtId="0" fontId="12" fillId="3" borderId="4" xfId="0" applyFont="1" applyFill="1" applyBorder="1" applyAlignment="1">
      <alignment vertical="top" wrapText="1"/>
    </xf>
    <xf numFmtId="0" fontId="4" fillId="0" borderId="19" xfId="0" applyFont="1" applyBorder="1"/>
    <xf numFmtId="0" fontId="4" fillId="0" borderId="8" xfId="0" applyFont="1" applyBorder="1" applyAlignment="1">
      <alignment horizontal="center"/>
    </xf>
    <xf numFmtId="0" fontId="40" fillId="0" borderId="9" xfId="0" applyFont="1" applyBorder="1"/>
    <xf numFmtId="0" fontId="9" fillId="0" borderId="6" xfId="0" applyFont="1" applyBorder="1" applyAlignment="1">
      <alignment horizontal="left" vertical="top"/>
    </xf>
    <xf numFmtId="0" fontId="3" fillId="0" borderId="6" xfId="0" applyFont="1" applyBorder="1"/>
    <xf numFmtId="0" fontId="7" fillId="0" borderId="6" xfId="0" applyFont="1" applyBorder="1" applyAlignment="1">
      <alignment horizontal="center"/>
    </xf>
    <xf numFmtId="0" fontId="1" fillId="0" borderId="0" xfId="0" applyFont="1" applyAlignment="1">
      <alignment horizontal="left" vertical="top"/>
    </xf>
    <xf numFmtId="0" fontId="0" fillId="0" borderId="0" xfId="0"/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49" fontId="26" fillId="0" borderId="0" xfId="0" applyNumberFormat="1" applyFont="1" applyAlignment="1">
      <alignment horizontal="left"/>
    </xf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26" fillId="5" borderId="9" xfId="0" applyFont="1" applyFill="1" applyBorder="1" applyAlignment="1">
      <alignment horizontal="center"/>
    </xf>
    <xf numFmtId="0" fontId="26" fillId="0" borderId="9" xfId="0" applyFont="1" applyBorder="1" applyAlignment="1">
      <alignment horizontal="left"/>
    </xf>
    <xf numFmtId="0" fontId="26" fillId="0" borderId="9" xfId="0" applyFont="1" applyBorder="1" applyAlignment="1">
      <alignment horizontal="center"/>
    </xf>
    <xf numFmtId="0" fontId="33" fillId="0" borderId="9" xfId="0" applyFont="1" applyBorder="1" applyAlignment="1">
      <alignment horizontal="left"/>
    </xf>
    <xf numFmtId="10" fontId="33" fillId="0" borderId="9" xfId="1" applyNumberFormat="1" applyFont="1" applyBorder="1" applyAlignment="1">
      <alignment horizontal="center"/>
    </xf>
    <xf numFmtId="0" fontId="33" fillId="0" borderId="11" xfId="0" applyFont="1" applyBorder="1" applyAlignment="1">
      <alignment horizontal="left"/>
    </xf>
    <xf numFmtId="0" fontId="34" fillId="0" borderId="9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wrapText="1"/>
    </xf>
    <xf numFmtId="0" fontId="26" fillId="0" borderId="12" xfId="0" applyFont="1" applyBorder="1" applyAlignment="1">
      <alignment horizontal="left"/>
    </xf>
    <xf numFmtId="0" fontId="26" fillId="0" borderId="11" xfId="0" applyFont="1" applyBorder="1" applyAlignment="1">
      <alignment horizontal="left"/>
    </xf>
    <xf numFmtId="0" fontId="26" fillId="0" borderId="13" xfId="0" applyFont="1" applyBorder="1" applyAlignment="1">
      <alignment horizontal="left"/>
    </xf>
    <xf numFmtId="0" fontId="34" fillId="0" borderId="9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/>
    </xf>
    <xf numFmtId="49" fontId="33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26" fillId="0" borderId="14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left"/>
    </xf>
    <xf numFmtId="0" fontId="36" fillId="0" borderId="9" xfId="0" applyFont="1" applyBorder="1" applyAlignment="1">
      <alignment horizontal="left"/>
    </xf>
    <xf numFmtId="0" fontId="40" fillId="0" borderId="9" xfId="0" applyFont="1" applyBorder="1" applyAlignment="1">
      <alignment horizontal="center" vertical="center" wrapText="1"/>
    </xf>
    <xf numFmtId="0" fontId="39" fillId="2" borderId="9" xfId="0" applyFont="1" applyFill="1" applyBorder="1" applyAlignment="1">
      <alignment horizontal="center" vertical="top" wrapText="1"/>
    </xf>
    <xf numFmtId="14" fontId="39" fillId="0" borderId="9" xfId="0" applyNumberFormat="1" applyFont="1" applyBorder="1" applyAlignment="1">
      <alignment horizontal="center"/>
    </xf>
    <xf numFmtId="0" fontId="41" fillId="0" borderId="9" xfId="0" applyFont="1" applyBorder="1" applyAlignment="1">
      <alignment horizontal="center"/>
    </xf>
    <xf numFmtId="0" fontId="39" fillId="2" borderId="9" xfId="0" applyFont="1" applyFill="1" applyBorder="1" applyAlignment="1">
      <alignment horizontal="center"/>
    </xf>
    <xf numFmtId="0" fontId="40" fillId="4" borderId="9" xfId="0" applyFont="1" applyFill="1" applyBorder="1" applyAlignment="1">
      <alignment horizontal="center"/>
    </xf>
    <xf numFmtId="0" fontId="42" fillId="0" borderId="9" xfId="0" applyFont="1" applyBorder="1" applyAlignment="1">
      <alignment horizontal="center"/>
    </xf>
    <xf numFmtId="0" fontId="39" fillId="2" borderId="9" xfId="0" applyFont="1" applyFill="1" applyBorder="1" applyAlignment="1">
      <alignment horizontal="center" vertical="top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43" fillId="0" borderId="7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'LMI ANALYSIS'!$B$9:$B$12</c:f>
              <c:strCache>
                <c:ptCount val="4"/>
                <c:pt idx="0">
                  <c:v>No. of Vacancies Solicited</c:v>
                </c:pt>
                <c:pt idx="1">
                  <c:v>No. of Applicants Registered</c:v>
                </c:pt>
                <c:pt idx="2">
                  <c:v>No. of Applicants Referred</c:v>
                </c:pt>
                <c:pt idx="3">
                  <c:v>No. of Applicants Placed</c:v>
                </c:pt>
              </c:strCache>
            </c:strRef>
          </c:cat>
          <c:val>
            <c:numRef>
              <c:f>'LMI ANALYSIS'!$H$9:$H$12</c:f>
              <c:numCache>
                <c:formatCode>General</c:formatCode>
                <c:ptCount val="4"/>
                <c:pt idx="0">
                  <c:v>100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745-4DFC-8290-747BBD23B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8996272"/>
        <c:axId val="19006608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'LMI ANALYSIS'!$B$9:$B$12</c15:sqref>
                        </c15:formulaRef>
                      </c:ext>
                    </c:extLst>
                    <c:strCache>
                      <c:ptCount val="4"/>
                      <c:pt idx="0">
                        <c:v>No. of Vacancies Solicited</c:v>
                      </c:pt>
                      <c:pt idx="1">
                        <c:v>No. of Applicants Registered</c:v>
                      </c:pt>
                      <c:pt idx="2">
                        <c:v>No. of Applicants Referred</c:v>
                      </c:pt>
                      <c:pt idx="3">
                        <c:v>No. of Applicants Placed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'LMI ANALYSIS'!$I$9:$I$12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1-7745-4DFC-8290-747BBD23B513}"/>
                  </c:ext>
                </c:extLst>
              </c15:ser>
            </c15:filteredBarSeries>
          </c:ext>
        </c:extLst>
      </c:barChart>
      <c:catAx>
        <c:axId val="1899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6608"/>
        <c:crosses val="autoZero"/>
        <c:auto val="1"/>
        <c:lblAlgn val="ctr"/>
        <c:lblOffset val="100"/>
        <c:noMultiLvlLbl val="0"/>
      </c:catAx>
      <c:valAx>
        <c:axId val="1900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CEB-4C71-8EB9-B28DB99B3371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'LMI ANALYSIS'!$P$24:$T$24</c15:sqref>
                  </c15:fullRef>
                </c:ext>
              </c:extLst>
              <c:f>('LMI ANALYSIS'!$P$24,'LMI ANALYSIS'!$R$24)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'LMI ANALYSIS'!$P$24:$T$24</c15:sqref>
                  </c15:fullRef>
                </c:ext>
              </c:extLst>
              <c:f>('LMI ANALYSIS'!$P$24,'LMI ANALYSIS'!$R$24)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8CEB-4C71-8EB9-B28DB99B3371}"/>
            </c:ext>
            <c:ext xmlns:c15="http://schemas.microsoft.com/office/drawing/2012/chart" uri="{02D57815-91ED-43cb-92C2-25804820EDAC}">
              <c15:categoryFilterExceptions/>
            </c:ext>
          </c:extLst>
        </c:ser>
        <c:ser>
          <c:idx val="1"/>
          <c:order val="1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8CEB-4C71-8EB9-B28DB99B3371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48%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52%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'LMI ANALYSIS'!$P$24:$T$24</c15:sqref>
                  </c15:fullRef>
                </c:ext>
              </c:extLst>
              <c:f>('LMI ANALYSIS'!$P$24,'LMI ANALYSIS'!$R$24)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'LMI ANALYSIS'!$P$25:$T$25</c15:sqref>
                  </c15:fullRef>
                </c:ext>
              </c:extLst>
              <c:f>('LMI ANALYSIS'!$P$25,'LMI ANALYSIS'!$R$25)</c:f>
              <c:numCache>
                <c:formatCode>General</c:formatCode>
                <c:ptCount val="2"/>
                <c:pt idx="0">
                  <c:v>25</c:v>
                </c:pt>
                <c:pt idx="1">
                  <c:v>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8CEB-4C71-8EB9-B28DB99B3371}"/>
            </c:ext>
            <c:ext xmlns:c15="http://schemas.microsoft.com/office/drawing/2012/chart" uri="{02D57815-91ED-43cb-92C2-25804820EDAC}">
              <c15:categoryFilterExceptions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0C0-4AC4-AA18-28ABCE83FF9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'LMI ANALYSIS'!$K$24:$O$24</c15:sqref>
                  </c15:fullRef>
                </c:ext>
              </c:extLst>
              <c:f>('LMI ANALYSIS'!$K$24,'LMI ANALYSIS'!$M$24)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'LMI ANALYSIS'!$K$24:$O$24</c15:sqref>
                  </c15:fullRef>
                </c:ext>
              </c:extLst>
              <c:f>('LMI ANALYSIS'!$K$24,'LMI ANALYSIS'!$M$24)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0C0-4AC4-AA18-28ABCE83FF94}"/>
            </c:ext>
            <c:ext xmlns:c15="http://schemas.microsoft.com/office/drawing/2012/chart" uri="{02D57815-91ED-43cb-92C2-25804820EDAC}">
              <c15:categoryFilterExceptions/>
            </c:ext>
          </c:extLst>
        </c:ser>
        <c:ser>
          <c:idx val="1"/>
          <c:order val="1"/>
          <c:dPt>
            <c:idx val="0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10C0-4AC4-AA18-28ABCE83FF9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48%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51%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'LMI ANALYSIS'!$K$24:$O$24</c15:sqref>
                  </c15:fullRef>
                </c:ext>
              </c:extLst>
              <c:f>('LMI ANALYSIS'!$K$24,'LMI ANALYSIS'!$M$24)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'LMI ANALYSIS'!$K$25:$O$25</c15:sqref>
                  </c15:fullRef>
                </c:ext>
              </c:extLst>
              <c:f>('LMI ANALYSIS'!$K$25,'LMI ANALYSIS'!$M$25)</c:f>
              <c:numCache>
                <c:formatCode>General</c:formatCode>
                <c:ptCount val="2"/>
                <c:pt idx="0">
                  <c:v>25</c:v>
                </c:pt>
                <c:pt idx="1">
                  <c:v>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10C0-4AC4-AA18-28ABCE83FF94}"/>
            </c:ext>
            <c:ext xmlns:c15="http://schemas.microsoft.com/office/drawing/2012/chart" uri="{02D57815-91ED-43cb-92C2-25804820EDAC}">
              <c15:categoryFilterExceptions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386-41AF-8CB6-AD19EAABE233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'LMI ANALYSIS'!$F$24:$J$24</c15:sqref>
                  </c15:fullRef>
                </c:ext>
              </c:extLst>
              <c:f>('LMI ANALYSIS'!$F$24,'LMI ANALYSIS'!$H$24)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'LMI ANALYSIS'!$F$24:$J$24</c15:sqref>
                  </c15:fullRef>
                </c:ext>
              </c:extLst>
              <c:f>('LMI ANALYSIS'!$F$24,'LMI ANALYSIS'!$H$24)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386-41AF-8CB6-AD19EAABE233}"/>
            </c:ext>
            <c:ext xmlns:c15="http://schemas.microsoft.com/office/drawing/2012/chart" uri="{02D57815-91ED-43cb-92C2-25804820EDAC}">
              <c15:categoryFilterExceptions/>
            </c:ext>
          </c:extLst>
        </c:ser>
        <c:ser>
          <c:idx val="1"/>
          <c:order val="1"/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1386-41AF-8CB6-AD19EAABE233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48%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'LMI ANALYSIS'!$F$24:$J$24</c15:sqref>
                  </c15:fullRef>
                </c:ext>
              </c:extLst>
              <c:f>('LMI ANALYSIS'!$F$24,'LMI ANALYSIS'!$H$24)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'LMI ANALYSIS'!$F$25:$J$25</c15:sqref>
                  </c15:fullRef>
                </c:ext>
              </c:extLst>
              <c:f>('LMI ANALYSIS'!$F$25,'LMI ANALYSIS'!$H$25)</c:f>
              <c:numCache>
                <c:formatCode>General</c:formatCode>
                <c:ptCount val="2"/>
                <c:pt idx="0">
                  <c:v>25</c:v>
                </c:pt>
                <c:pt idx="1">
                  <c:v>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1386-41AF-8CB6-AD19EAABE233}"/>
            </c:ext>
            <c:ext xmlns:c15="http://schemas.microsoft.com/office/drawing/2012/chart" uri="{02D57815-91ED-43cb-92C2-25804820EDAC}">
              <c15:categoryFilterExceptions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09C-4C3D-BEBD-91BC7D43123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'LMI ANALYSIS'!$B$24:$E$24</c15:sqref>
                  </c15:fullRef>
                </c:ext>
              </c:extLst>
              <c:f>('LMI ANALYSIS'!$B$24,'LMI ANALYSIS'!$D$24:$E$24)</c:f>
              <c:strCache>
                <c:ptCount val="3"/>
                <c:pt idx="0">
                  <c:v>Local</c:v>
                </c:pt>
                <c:pt idx="1">
                  <c:v>Overseas</c:v>
                </c:pt>
                <c:pt idx="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'LMI ANALYSIS'!$B$24:$E$24</c15:sqref>
                  </c15:fullRef>
                </c:ext>
              </c:extLst>
              <c:f>('LMI ANALYSIS'!$B$24,'LMI ANALYSIS'!$D$24:$E$24)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909C-4C3D-BEBD-91BC7D431234}"/>
            </c:ext>
            <c:ext xmlns:c15="http://schemas.microsoft.com/office/drawing/2012/chart" uri="{02D57815-91ED-43cb-92C2-25804820EDAC}">
              <c15:categoryFilterExceptions/>
            </c:ext>
          </c:extLst>
        </c:ser>
        <c:ser>
          <c:idx val="1"/>
          <c:order val="1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909C-4C3D-BEBD-91BC7D43123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4.1928721174004112E-2"/>
                  <c:y val="-9.119927040583758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96.78%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792452830188679"/>
                      <c:h val="0.22772457820337438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'LMI ANALYSIS'!$B$24:$E$24</c15:sqref>
                  </c15:fullRef>
                </c:ext>
              </c:extLst>
              <c:f>('LMI ANALYSIS'!$B$24,'LMI ANALYSIS'!$D$24:$E$24)</c:f>
              <c:strCache>
                <c:ptCount val="3"/>
                <c:pt idx="0">
                  <c:v>Local</c:v>
                </c:pt>
                <c:pt idx="1">
                  <c:v>Overseas</c:v>
                </c:pt>
                <c:pt idx="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'LMI ANALYSIS'!$B$25:$E$25</c15:sqref>
                  </c15:fullRef>
                </c:ext>
              </c:extLst>
              <c:f>('LMI ANALYSIS'!$B$25,'LMI ANALYSIS'!$D$25:$E$25)</c:f>
              <c:numCache>
                <c:formatCode>General</c:formatCode>
                <c:ptCount val="3"/>
                <c:pt idx="0">
                  <c:v>100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909C-4C3D-BEBD-91BC7D431234}"/>
            </c:ext>
            <c:ext xmlns:c15="http://schemas.microsoft.com/office/drawing/2012/chart" uri="{02D57815-91ED-43cb-92C2-25804820EDAC}">
              <c15:categoryFilterExceptions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jpe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47624</xdr:colOff>
      <xdr:row>7</xdr:row>
      <xdr:rowOff>142874</xdr:rowOff>
    </xdr:from>
    <xdr:to>
      <xdr:col>20</xdr:col>
      <xdr:colOff>142874</xdr:colOff>
      <xdr:row>19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913D754-12EA-4EBA-9DC3-800D13F815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95250</xdr:colOff>
      <xdr:row>7</xdr:row>
      <xdr:rowOff>152400</xdr:rowOff>
    </xdr:from>
    <xdr:ext cx="3390900" cy="26526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8AE54B5D-7F82-42AA-9A24-A99C7D795D49}"/>
            </a:ext>
          </a:extLst>
        </xdr:cNvPr>
        <xdr:cNvSpPr txBox="1"/>
      </xdr:nvSpPr>
      <xdr:spPr>
        <a:xfrm>
          <a:off x="3524250" y="1706880"/>
          <a:ext cx="3390900" cy="2652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PH" sz="1100" b="1">
              <a:latin typeface="Century Gothic" panose="020B0502020202020204" pitchFamily="34" charset="0"/>
            </a:rPr>
            <a:t>LMI Graphical Presentation for </a:t>
          </a:r>
          <a:r>
            <a:rPr lang="en-PH" sz="1100" b="1" baseline="0">
              <a:latin typeface="Century Gothic" panose="020B0502020202020204" pitchFamily="34" charset="0"/>
            </a:rPr>
            <a:t> JUNE 2026</a:t>
          </a:r>
          <a:endParaRPr lang="en-PH" sz="1100" b="1">
            <a:latin typeface="Century Gothic" panose="020B0502020202020204" pitchFamily="34" charset="0"/>
          </a:endParaRPr>
        </a:p>
      </xdr:txBody>
    </xdr:sp>
    <xdr:clientData/>
  </xdr:oneCellAnchor>
  <xdr:twoCellAnchor>
    <xdr:from>
      <xdr:col>15</xdr:col>
      <xdr:colOff>0</xdr:colOff>
      <xdr:row>28</xdr:row>
      <xdr:rowOff>19050</xdr:rowOff>
    </xdr:from>
    <xdr:to>
      <xdr:col>19</xdr:col>
      <xdr:colOff>304800</xdr:colOff>
      <xdr:row>35</xdr:row>
      <xdr:rowOff>194389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115E006E-D527-4A1B-A3E8-C9C3BD51C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9525</xdr:colOff>
      <xdr:row>28</xdr:row>
      <xdr:rowOff>9525</xdr:rowOff>
    </xdr:from>
    <xdr:to>
      <xdr:col>14</xdr:col>
      <xdr:colOff>314325</xdr:colOff>
      <xdr:row>35</xdr:row>
      <xdr:rowOff>194389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1E2F38BC-8FE5-4E24-9CF6-97F63DAAD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19049</xdr:colOff>
      <xdr:row>28</xdr:row>
      <xdr:rowOff>9525</xdr:rowOff>
    </xdr:from>
    <xdr:to>
      <xdr:col>9</xdr:col>
      <xdr:colOff>323849</xdr:colOff>
      <xdr:row>35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A796684B-76A9-4F6D-98B1-1E2596B83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28575</xdr:colOff>
      <xdr:row>28</xdr:row>
      <xdr:rowOff>9524</xdr:rowOff>
    </xdr:from>
    <xdr:to>
      <xdr:col>5</xdr:col>
      <xdr:colOff>19050</xdr:colOff>
      <xdr:row>35</xdr:row>
      <xdr:rowOff>190499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1210F022-8A59-4AD4-884C-A372CE570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160020</xdr:colOff>
      <xdr:row>0</xdr:row>
      <xdr:rowOff>45720</xdr:rowOff>
    </xdr:from>
    <xdr:to>
      <xdr:col>5</xdr:col>
      <xdr:colOff>32385</xdr:colOff>
      <xdr:row>5</xdr:row>
      <xdr:rowOff>158368</xdr:rowOff>
    </xdr:to>
    <xdr:pic>
      <xdr:nvPicPr>
        <xdr:cNvPr id="8" name="Picture 7" descr="May be an image of banner, flag and text that says 'OF CITY 1968 TANGUR Y UNA ANG GINOO ENTERED'">
          <a:extLst>
            <a:ext uri="{FF2B5EF4-FFF2-40B4-BE49-F238E27FC236}">
              <a16:creationId xmlns:a16="http://schemas.microsoft.com/office/drawing/2014/main" xmlns="" id="{E82E99D7-B3F9-4DA0-94F8-38EA53DC1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" y="45720"/>
          <a:ext cx="1289685" cy="1027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52"/>
  <sheetViews>
    <sheetView tabSelected="1" workbookViewId="0">
      <selection activeCell="Y20" sqref="Y20"/>
    </sheetView>
  </sheetViews>
  <sheetFormatPr defaultColWidth="9.109375" defaultRowHeight="13.8"/>
  <cols>
    <col min="1" max="1" width="1.109375" style="46" customWidth="1"/>
    <col min="2" max="2" width="6.109375" style="46" customWidth="1"/>
    <col min="3" max="6" width="5" style="46" customWidth="1"/>
    <col min="7" max="7" width="10.6640625" style="46" customWidth="1"/>
    <col min="8" max="8" width="5" style="46" customWidth="1"/>
    <col min="9" max="9" width="7.109375" style="46" customWidth="1"/>
    <col min="10" max="16" width="5" style="46" customWidth="1"/>
    <col min="17" max="17" width="7" style="46" customWidth="1"/>
    <col min="18" max="19" width="5" style="46" customWidth="1"/>
    <col min="20" max="20" width="7.109375" style="46" customWidth="1"/>
    <col min="21" max="22" width="5" style="46" customWidth="1"/>
    <col min="23" max="16384" width="9.109375" style="46"/>
  </cols>
  <sheetData>
    <row r="1" spans="2:26" ht="25.5" customHeight="1">
      <c r="F1" s="101" t="s">
        <v>43</v>
      </c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</row>
    <row r="2" spans="2:26" ht="18.75" customHeight="1">
      <c r="B2" s="102" t="s">
        <v>44</v>
      </c>
      <c r="C2" s="102"/>
      <c r="D2" s="102"/>
      <c r="E2" s="102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</row>
    <row r="3" spans="2:26" ht="18.75" customHeight="1"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</row>
    <row r="4" spans="2:26">
      <c r="H4" s="103" t="s">
        <v>45</v>
      </c>
      <c r="I4" s="103"/>
      <c r="J4" s="103"/>
      <c r="K4" s="103"/>
      <c r="L4" s="104" t="s">
        <v>687</v>
      </c>
      <c r="M4" s="104"/>
      <c r="N4" s="104"/>
      <c r="O4" s="104"/>
      <c r="P4" s="104"/>
      <c r="Q4" s="104"/>
    </row>
    <row r="5" spans="2:26" ht="20.25" customHeight="1">
      <c r="B5" s="105" t="s">
        <v>46</v>
      </c>
      <c r="C5" s="105"/>
      <c r="D5" s="105"/>
      <c r="E5" s="105"/>
      <c r="F5" s="106" t="s">
        <v>47</v>
      </c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</row>
    <row r="6" spans="2:26" ht="12.75" customHeight="1">
      <c r="B6" s="105"/>
      <c r="C6" s="105"/>
      <c r="D6" s="105"/>
      <c r="E6" s="105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</row>
    <row r="7" spans="2:26">
      <c r="B7" s="107" t="s">
        <v>48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</row>
    <row r="8" spans="2:26" ht="16.5" customHeight="1">
      <c r="B8" s="108" t="s">
        <v>49</v>
      </c>
      <c r="C8" s="108"/>
      <c r="D8" s="108"/>
      <c r="E8" s="108"/>
      <c r="F8" s="108"/>
      <c r="G8" s="108"/>
      <c r="H8" s="108"/>
      <c r="I8" s="108"/>
      <c r="Z8"/>
    </row>
    <row r="9" spans="2:26">
      <c r="B9" s="109" t="s">
        <v>50</v>
      </c>
      <c r="C9" s="109"/>
      <c r="D9" s="109"/>
      <c r="E9" s="109"/>
      <c r="F9" s="109"/>
      <c r="G9" s="109"/>
      <c r="H9" s="110">
        <v>320</v>
      </c>
      <c r="I9" s="110"/>
    </row>
    <row r="10" spans="2:26">
      <c r="B10" s="109" t="s">
        <v>51</v>
      </c>
      <c r="C10" s="109"/>
      <c r="D10" s="109"/>
      <c r="E10" s="109"/>
      <c r="F10" s="109"/>
      <c r="G10" s="109"/>
      <c r="H10" s="110">
        <v>311</v>
      </c>
      <c r="I10" s="110"/>
    </row>
    <row r="11" spans="2:26">
      <c r="B11" s="109" t="s">
        <v>52</v>
      </c>
      <c r="C11" s="109"/>
      <c r="D11" s="109"/>
      <c r="E11" s="109"/>
      <c r="F11" s="109"/>
      <c r="G11" s="109"/>
      <c r="H11" s="110">
        <v>311</v>
      </c>
      <c r="I11" s="110"/>
    </row>
    <row r="12" spans="2:26">
      <c r="B12" s="109" t="s">
        <v>53</v>
      </c>
      <c r="C12" s="109"/>
      <c r="D12" s="109"/>
      <c r="E12" s="109"/>
      <c r="F12" s="109"/>
      <c r="G12" s="109"/>
      <c r="H12" s="110">
        <v>301</v>
      </c>
      <c r="I12" s="110"/>
    </row>
    <row r="13" spans="2:26">
      <c r="B13" s="111" t="s">
        <v>54</v>
      </c>
      <c r="C13" s="111"/>
      <c r="D13" s="111"/>
      <c r="E13" s="111"/>
      <c r="F13" s="111"/>
      <c r="G13" s="111"/>
      <c r="H13" s="112">
        <f>H12/H11</f>
        <v>0.96784565916398713</v>
      </c>
      <c r="I13" s="112"/>
    </row>
    <row r="14" spans="2:26">
      <c r="B14" s="113" t="s">
        <v>55</v>
      </c>
      <c r="C14" s="113"/>
      <c r="D14" s="113"/>
      <c r="E14" s="113"/>
      <c r="F14" s="113"/>
      <c r="G14" s="113"/>
      <c r="H14" s="113"/>
      <c r="I14" s="113"/>
    </row>
    <row r="15" spans="2:26" ht="23.25" customHeight="1">
      <c r="B15" s="114" t="s">
        <v>686</v>
      </c>
      <c r="C15" s="114"/>
      <c r="D15" s="114"/>
      <c r="E15" s="114"/>
      <c r="F15" s="114"/>
      <c r="G15" s="114"/>
      <c r="H15" s="114"/>
      <c r="I15" s="114"/>
      <c r="Z15" s="46" t="s">
        <v>56</v>
      </c>
    </row>
    <row r="16" spans="2:26" ht="23.25" customHeight="1">
      <c r="B16" s="114"/>
      <c r="C16" s="114"/>
      <c r="D16" s="114"/>
      <c r="E16" s="114"/>
      <c r="F16" s="114"/>
      <c r="G16" s="114"/>
      <c r="H16" s="114"/>
      <c r="I16" s="114"/>
    </row>
    <row r="17" spans="2:20" ht="23.25" customHeight="1">
      <c r="B17" s="114"/>
      <c r="C17" s="114"/>
      <c r="D17" s="114"/>
      <c r="E17" s="114"/>
      <c r="F17" s="114"/>
      <c r="G17" s="114"/>
      <c r="H17" s="114"/>
      <c r="I17" s="114"/>
    </row>
    <row r="18" spans="2:20" ht="23.25" customHeight="1">
      <c r="B18" s="114"/>
      <c r="C18" s="114"/>
      <c r="D18" s="114"/>
      <c r="E18" s="114"/>
      <c r="F18" s="114"/>
      <c r="G18" s="114"/>
      <c r="H18" s="114"/>
      <c r="I18" s="114"/>
    </row>
    <row r="19" spans="2:20" ht="6.75" customHeight="1"/>
    <row r="20" spans="2:20">
      <c r="B20" s="107" t="s">
        <v>57</v>
      </c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</row>
    <row r="21" spans="2:20" ht="9" customHeight="1"/>
    <row r="22" spans="2:20" ht="16.5" customHeight="1">
      <c r="B22" s="115" t="s">
        <v>58</v>
      </c>
      <c r="C22" s="115"/>
      <c r="D22" s="115"/>
      <c r="E22" s="115"/>
      <c r="F22" s="115" t="s">
        <v>59</v>
      </c>
      <c r="G22" s="115"/>
      <c r="H22" s="115"/>
      <c r="I22" s="115"/>
      <c r="J22" s="115"/>
      <c r="K22" s="115" t="s">
        <v>60</v>
      </c>
      <c r="L22" s="115"/>
      <c r="M22" s="115"/>
      <c r="N22" s="115"/>
      <c r="O22" s="115"/>
      <c r="P22" s="115" t="s">
        <v>61</v>
      </c>
      <c r="Q22" s="115"/>
      <c r="R22" s="115"/>
      <c r="S22" s="115"/>
      <c r="T22" s="115"/>
    </row>
    <row r="23" spans="2:20"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</row>
    <row r="24" spans="2:20">
      <c r="B24" s="121" t="s">
        <v>62</v>
      </c>
      <c r="C24" s="121"/>
      <c r="D24" s="121" t="s">
        <v>63</v>
      </c>
      <c r="E24" s="121"/>
      <c r="F24" s="110" t="s">
        <v>28</v>
      </c>
      <c r="G24" s="110"/>
      <c r="H24" s="110" t="s">
        <v>15</v>
      </c>
      <c r="I24" s="110"/>
      <c r="J24" s="110"/>
      <c r="K24" s="110" t="s">
        <v>28</v>
      </c>
      <c r="L24" s="110"/>
      <c r="M24" s="110" t="s">
        <v>15</v>
      </c>
      <c r="N24" s="110"/>
      <c r="O24" s="110"/>
      <c r="P24" s="110" t="s">
        <v>28</v>
      </c>
      <c r="Q24" s="110"/>
      <c r="R24" s="110" t="s">
        <v>15</v>
      </c>
      <c r="S24" s="110"/>
      <c r="T24" s="110"/>
    </row>
    <row r="25" spans="2:20" s="50" customFormat="1" ht="21.75" customHeight="1">
      <c r="B25" s="119">
        <v>320</v>
      </c>
      <c r="C25" s="119"/>
      <c r="D25" s="119">
        <v>0</v>
      </c>
      <c r="E25" s="119"/>
      <c r="F25" s="119">
        <v>162</v>
      </c>
      <c r="G25" s="119"/>
      <c r="H25" s="120">
        <v>149</v>
      </c>
      <c r="I25" s="120"/>
      <c r="J25" s="120"/>
      <c r="K25" s="120">
        <v>162</v>
      </c>
      <c r="L25" s="120"/>
      <c r="M25" s="120">
        <v>149</v>
      </c>
      <c r="N25" s="120"/>
      <c r="O25" s="120"/>
      <c r="P25" s="120">
        <v>157</v>
      </c>
      <c r="Q25" s="120"/>
      <c r="R25" s="120">
        <v>144</v>
      </c>
      <c r="S25" s="120"/>
      <c r="T25" s="120"/>
    </row>
    <row r="26" spans="2:20" s="50" customFormat="1" ht="7.5" customHeight="1">
      <c r="B26" s="51"/>
      <c r="C26" s="51"/>
      <c r="D26" s="51"/>
      <c r="E26" s="51"/>
      <c r="F26" s="52"/>
      <c r="G26" s="52"/>
      <c r="H26" s="52"/>
      <c r="I26" s="52"/>
      <c r="J26" s="52"/>
      <c r="K26" s="52"/>
      <c r="L26" s="52"/>
      <c r="M26" s="53"/>
      <c r="N26" s="53"/>
      <c r="O26" s="52"/>
      <c r="P26" s="52"/>
      <c r="Q26" s="52"/>
      <c r="R26" s="52"/>
      <c r="S26" s="52"/>
      <c r="T26" s="52"/>
    </row>
    <row r="27" spans="2:20" s="50" customFormat="1" ht="21.75" customHeight="1">
      <c r="B27" s="54" t="s">
        <v>64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O27" s="122" t="s">
        <v>687</v>
      </c>
      <c r="P27" s="122"/>
      <c r="Q27" s="122"/>
      <c r="R27" s="55" t="s">
        <v>65</v>
      </c>
      <c r="S27" s="55"/>
      <c r="T27" s="55"/>
    </row>
    <row r="28" spans="2:20" s="50" customFormat="1" ht="21.75" customHeight="1">
      <c r="B28" s="123" t="s">
        <v>66</v>
      </c>
      <c r="C28" s="123"/>
      <c r="D28" s="123"/>
      <c r="E28" s="123"/>
      <c r="F28" s="123" t="s">
        <v>67</v>
      </c>
      <c r="G28" s="123"/>
      <c r="H28" s="123"/>
      <c r="I28" s="123"/>
      <c r="J28" s="123"/>
      <c r="K28" s="123" t="s">
        <v>68</v>
      </c>
      <c r="L28" s="123"/>
      <c r="M28" s="123"/>
      <c r="N28" s="123"/>
      <c r="O28" s="123"/>
      <c r="P28" s="123" t="s">
        <v>69</v>
      </c>
      <c r="Q28" s="123"/>
      <c r="R28" s="123"/>
      <c r="S28" s="123"/>
      <c r="T28" s="123"/>
    </row>
    <row r="31" spans="2:20">
      <c r="E31" s="56"/>
    </row>
    <row r="37" spans="2:20">
      <c r="B37" s="116" t="s">
        <v>55</v>
      </c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8"/>
    </row>
    <row r="38" spans="2:20">
      <c r="B38" s="124" t="s">
        <v>688</v>
      </c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6"/>
    </row>
    <row r="39" spans="2:20"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6"/>
    </row>
    <row r="40" spans="2:20"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6"/>
    </row>
    <row r="41" spans="2:20">
      <c r="B41" s="127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9"/>
    </row>
    <row r="42" spans="2:20" ht="7.5" customHeight="1"/>
    <row r="43" spans="2:20" ht="19.5" customHeight="1">
      <c r="B43" s="57" t="s">
        <v>70</v>
      </c>
    </row>
    <row r="44" spans="2:20" ht="19.5" customHeight="1">
      <c r="B44" s="108" t="s">
        <v>49</v>
      </c>
      <c r="C44" s="108"/>
      <c r="D44" s="108"/>
      <c r="E44" s="108"/>
      <c r="F44" s="108"/>
      <c r="G44" s="48">
        <v>2026</v>
      </c>
      <c r="H44" s="108">
        <v>2025</v>
      </c>
      <c r="I44" s="108"/>
      <c r="J44" s="114" t="s">
        <v>689</v>
      </c>
      <c r="K44" s="114"/>
      <c r="L44" s="114"/>
      <c r="M44" s="114"/>
      <c r="N44" s="114"/>
      <c r="O44" s="114"/>
      <c r="P44" s="114"/>
      <c r="Q44" s="114"/>
      <c r="R44" s="114"/>
      <c r="S44" s="114"/>
      <c r="T44" s="114"/>
    </row>
    <row r="45" spans="2:20" ht="19.5" customHeight="1">
      <c r="B45" s="130" t="s">
        <v>50</v>
      </c>
      <c r="C45" s="130"/>
      <c r="D45" s="130"/>
      <c r="E45" s="130"/>
      <c r="F45" s="130"/>
      <c r="G45" s="49">
        <f>H9</f>
        <v>320</v>
      </c>
      <c r="H45" s="120">
        <v>291</v>
      </c>
      <c r="I45" s="120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</row>
    <row r="46" spans="2:20" ht="19.5" customHeight="1">
      <c r="B46" s="131" t="s">
        <v>51</v>
      </c>
      <c r="C46" s="131"/>
      <c r="D46" s="131"/>
      <c r="E46" s="131"/>
      <c r="F46" s="131"/>
      <c r="G46" s="49">
        <f t="shared" ref="G46:G48" si="0">H10</f>
        <v>311</v>
      </c>
      <c r="H46" s="120">
        <v>80</v>
      </c>
      <c r="I46" s="120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</row>
    <row r="47" spans="2:20" ht="19.5" customHeight="1">
      <c r="B47" s="130" t="s">
        <v>52</v>
      </c>
      <c r="C47" s="130"/>
      <c r="D47" s="130"/>
      <c r="E47" s="130"/>
      <c r="F47" s="130"/>
      <c r="G47" s="49">
        <f t="shared" si="0"/>
        <v>311</v>
      </c>
      <c r="H47" s="120">
        <v>80</v>
      </c>
      <c r="I47" s="12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</row>
    <row r="48" spans="2:20" ht="19.5" customHeight="1">
      <c r="B48" s="130" t="s">
        <v>53</v>
      </c>
      <c r="C48" s="130"/>
      <c r="D48" s="130"/>
      <c r="E48" s="130"/>
      <c r="F48" s="130"/>
      <c r="G48" s="49">
        <f t="shared" si="0"/>
        <v>301</v>
      </c>
      <c r="H48" s="120">
        <v>80</v>
      </c>
      <c r="I48" s="120"/>
      <c r="J48" s="50"/>
      <c r="K48" s="50" t="s">
        <v>71</v>
      </c>
      <c r="L48" s="50"/>
      <c r="M48" s="50"/>
      <c r="N48" s="50"/>
      <c r="O48" s="57" t="s">
        <v>72</v>
      </c>
      <c r="P48" s="50"/>
      <c r="Q48" s="50"/>
      <c r="R48" s="50"/>
      <c r="S48" s="50"/>
      <c r="T48" s="50"/>
    </row>
    <row r="49" spans="2:15" ht="19.5" customHeight="1">
      <c r="B49" s="111" t="s">
        <v>54</v>
      </c>
      <c r="C49" s="111"/>
      <c r="D49" s="111"/>
      <c r="E49" s="111"/>
      <c r="F49" s="111"/>
      <c r="G49" s="58">
        <f>G48/G47</f>
        <v>0.96784565916398713</v>
      </c>
      <c r="H49" s="112">
        <v>1</v>
      </c>
      <c r="I49" s="112"/>
      <c r="O49" s="46" t="s">
        <v>73</v>
      </c>
    </row>
    <row r="50" spans="2:15" ht="19.5" customHeight="1"/>
    <row r="52" spans="2:15">
      <c r="F52" s="57"/>
    </row>
  </sheetData>
  <mergeCells count="61">
    <mergeCell ref="B47:F47"/>
    <mergeCell ref="H47:I47"/>
    <mergeCell ref="B48:F48"/>
    <mergeCell ref="H48:I48"/>
    <mergeCell ref="B49:F49"/>
    <mergeCell ref="H49:I49"/>
    <mergeCell ref="B38:T41"/>
    <mergeCell ref="B44:F44"/>
    <mergeCell ref="H44:I44"/>
    <mergeCell ref="J44:T46"/>
    <mergeCell ref="B45:F45"/>
    <mergeCell ref="H45:I45"/>
    <mergeCell ref="B46:F46"/>
    <mergeCell ref="H46:I46"/>
    <mergeCell ref="O27:Q27"/>
    <mergeCell ref="B28:E28"/>
    <mergeCell ref="F28:J28"/>
    <mergeCell ref="K28:O28"/>
    <mergeCell ref="P28:T28"/>
    <mergeCell ref="B37:T37"/>
    <mergeCell ref="P24:Q24"/>
    <mergeCell ref="R24:T24"/>
    <mergeCell ref="B25:C25"/>
    <mergeCell ref="D25:E25"/>
    <mergeCell ref="F25:G25"/>
    <mergeCell ref="H25:J25"/>
    <mergeCell ref="K25:L25"/>
    <mergeCell ref="M25:O25"/>
    <mergeCell ref="P25:Q25"/>
    <mergeCell ref="R25:T25"/>
    <mergeCell ref="B24:C24"/>
    <mergeCell ref="D24:E24"/>
    <mergeCell ref="F24:G24"/>
    <mergeCell ref="H24:J24"/>
    <mergeCell ref="K24:L24"/>
    <mergeCell ref="M24:O24"/>
    <mergeCell ref="B14:I14"/>
    <mergeCell ref="B15:I18"/>
    <mergeCell ref="B20:T20"/>
    <mergeCell ref="B22:E23"/>
    <mergeCell ref="F22:J23"/>
    <mergeCell ref="K22:O23"/>
    <mergeCell ref="P22:T23"/>
    <mergeCell ref="B11:G11"/>
    <mergeCell ref="H11:I11"/>
    <mergeCell ref="B12:G12"/>
    <mergeCell ref="H12:I12"/>
    <mergeCell ref="B13:G13"/>
    <mergeCell ref="H13:I13"/>
    <mergeCell ref="B7:T7"/>
    <mergeCell ref="B8:I8"/>
    <mergeCell ref="B9:G9"/>
    <mergeCell ref="H9:I9"/>
    <mergeCell ref="B10:G10"/>
    <mergeCell ref="H10:I10"/>
    <mergeCell ref="F1:T3"/>
    <mergeCell ref="B2:E2"/>
    <mergeCell ref="H4:K4"/>
    <mergeCell ref="L4:Q4"/>
    <mergeCell ref="B5:E6"/>
    <mergeCell ref="F5:T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81"/>
  <sheetViews>
    <sheetView zoomScale="91" zoomScaleNormal="91" workbookViewId="0">
      <selection activeCell="D18" sqref="D18"/>
    </sheetView>
  </sheetViews>
  <sheetFormatPr defaultColWidth="14.44140625" defaultRowHeight="15" customHeight="1"/>
  <cols>
    <col min="1" max="1" width="6.5546875" customWidth="1"/>
    <col min="2" max="2" width="44.33203125" customWidth="1"/>
    <col min="3" max="3" width="43.6640625" customWidth="1"/>
    <col min="4" max="4" width="16" customWidth="1"/>
    <col min="5" max="5" width="17.109375" style="45" customWidth="1"/>
    <col min="6" max="6" width="9.44140625" style="45" customWidth="1"/>
    <col min="7" max="7" width="13.6640625" customWidth="1"/>
    <col min="8" max="8" width="36.109375" customWidth="1"/>
    <col min="9" max="9" width="15.88671875" customWidth="1"/>
    <col min="10" max="10" width="42.21875" customWidth="1"/>
    <col min="11" max="23" width="9" customWidth="1"/>
  </cols>
  <sheetData>
    <row r="1" spans="1:23" ht="15.75" customHeight="1">
      <c r="A1" s="31"/>
      <c r="B1" s="32"/>
      <c r="C1" s="32"/>
      <c r="D1" s="33"/>
      <c r="E1" s="43"/>
      <c r="F1" s="43"/>
      <c r="G1" s="31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6"/>
      <c r="U1" s="7"/>
      <c r="V1" s="7"/>
      <c r="W1" s="7"/>
    </row>
    <row r="2" spans="1:23" ht="15.75" customHeight="1">
      <c r="A2" s="87" t="s">
        <v>3</v>
      </c>
      <c r="B2" s="88"/>
      <c r="C2" s="88"/>
      <c r="D2" s="88"/>
      <c r="E2" s="88"/>
      <c r="F2" s="43"/>
      <c r="G2" s="31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6"/>
      <c r="U2" s="7"/>
      <c r="V2" s="7"/>
      <c r="W2" s="7"/>
    </row>
    <row r="3" spans="1:23" ht="15.75" customHeight="1">
      <c r="A3" s="31"/>
      <c r="B3" s="32"/>
      <c r="C3" s="32"/>
      <c r="D3" s="33"/>
      <c r="E3" s="43"/>
      <c r="F3" s="43"/>
      <c r="G3" s="31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26"/>
      <c r="U3" s="7"/>
      <c r="V3" s="7"/>
      <c r="W3" s="7"/>
    </row>
    <row r="4" spans="1:23" ht="15.75" customHeight="1">
      <c r="A4" s="87" t="s">
        <v>4</v>
      </c>
      <c r="B4" s="88"/>
      <c r="C4" s="88"/>
      <c r="D4" s="88"/>
      <c r="E4" s="88"/>
      <c r="F4" s="43"/>
      <c r="G4" s="31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26"/>
      <c r="U4" s="7"/>
      <c r="V4" s="7"/>
      <c r="W4" s="7"/>
    </row>
    <row r="5" spans="1:23" ht="15.75" customHeight="1">
      <c r="A5" s="31"/>
      <c r="B5" s="32"/>
      <c r="C5" s="32"/>
      <c r="D5" s="33"/>
      <c r="E5" s="43"/>
      <c r="F5" s="43"/>
      <c r="G5" s="31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6"/>
      <c r="U5" s="7"/>
      <c r="V5" s="7"/>
      <c r="W5" s="7"/>
    </row>
    <row r="6" spans="1:23" ht="15.75" customHeight="1">
      <c r="A6" s="89" t="s">
        <v>5</v>
      </c>
      <c r="B6" s="88"/>
      <c r="C6" s="88"/>
      <c r="D6" s="88"/>
      <c r="E6" s="88"/>
      <c r="F6" s="88"/>
      <c r="G6" s="88"/>
      <c r="H6" s="88"/>
      <c r="I6" s="88"/>
      <c r="J6" s="88"/>
      <c r="K6" s="32"/>
      <c r="L6" s="32"/>
      <c r="M6" s="32"/>
      <c r="N6" s="32"/>
      <c r="O6" s="32"/>
      <c r="P6" s="32"/>
      <c r="Q6" s="32"/>
      <c r="R6" s="32"/>
      <c r="S6" s="32"/>
      <c r="T6" s="26"/>
      <c r="U6" s="7"/>
      <c r="V6" s="7"/>
      <c r="W6" s="7"/>
    </row>
    <row r="7" spans="1:23" ht="15.75" customHeight="1">
      <c r="A7" s="89" t="s">
        <v>278</v>
      </c>
      <c r="B7" s="88"/>
      <c r="C7" s="88"/>
      <c r="D7" s="88"/>
      <c r="E7" s="88"/>
      <c r="F7" s="88"/>
      <c r="G7" s="88"/>
      <c r="H7" s="88"/>
      <c r="I7" s="88"/>
      <c r="J7" s="88"/>
      <c r="K7" s="32"/>
      <c r="L7" s="32"/>
      <c r="M7" s="32"/>
      <c r="N7" s="32"/>
      <c r="O7" s="32"/>
      <c r="P7" s="32"/>
      <c r="Q7" s="32"/>
      <c r="R7" s="32"/>
      <c r="S7" s="32"/>
      <c r="T7" s="26"/>
      <c r="U7" s="7"/>
      <c r="V7" s="7"/>
      <c r="W7" s="7"/>
    </row>
    <row r="8" spans="1:23" ht="15.75" customHeight="1">
      <c r="A8" s="31"/>
      <c r="B8" s="31"/>
      <c r="C8" s="31"/>
      <c r="D8" s="33"/>
      <c r="E8" s="43"/>
      <c r="F8" s="43"/>
      <c r="G8" s="31"/>
      <c r="H8" s="31"/>
      <c r="I8" s="31"/>
      <c r="J8" s="31"/>
      <c r="K8" s="32"/>
      <c r="L8" s="32"/>
      <c r="M8" s="32"/>
      <c r="N8" s="32"/>
      <c r="O8" s="32"/>
      <c r="P8" s="32"/>
      <c r="Q8" s="32"/>
      <c r="R8" s="32"/>
      <c r="S8" s="32"/>
      <c r="T8" s="26"/>
      <c r="U8" s="7"/>
      <c r="V8" s="7"/>
      <c r="W8" s="7"/>
    </row>
    <row r="9" spans="1:23" ht="79.5" customHeight="1">
      <c r="A9" s="132" t="s">
        <v>0</v>
      </c>
      <c r="B9" s="132" t="s">
        <v>6</v>
      </c>
      <c r="C9" s="132" t="s">
        <v>7</v>
      </c>
      <c r="D9" s="132" t="s">
        <v>8</v>
      </c>
      <c r="E9" s="132" t="s">
        <v>9</v>
      </c>
      <c r="F9" s="132" t="s">
        <v>10</v>
      </c>
      <c r="G9" s="132" t="s">
        <v>11</v>
      </c>
      <c r="H9" s="132" t="s">
        <v>12</v>
      </c>
      <c r="I9" s="132" t="s">
        <v>13</v>
      </c>
      <c r="J9" s="132" t="s">
        <v>14</v>
      </c>
      <c r="K9" s="32"/>
      <c r="L9" s="32"/>
      <c r="M9" s="32"/>
      <c r="N9" s="32"/>
      <c r="O9" s="32"/>
      <c r="P9" s="32"/>
      <c r="Q9" s="32"/>
      <c r="R9" s="32"/>
      <c r="S9" s="32"/>
      <c r="T9" s="26"/>
      <c r="U9" s="7"/>
      <c r="V9" s="7"/>
      <c r="W9" s="7"/>
    </row>
  </sheetData>
  <mergeCells count="4">
    <mergeCell ref="A2:E2"/>
    <mergeCell ref="A4:E4"/>
    <mergeCell ref="A6:J6"/>
    <mergeCell ref="A7:J7"/>
  </mergeCells>
  <phoneticPr fontId="23" type="noConversion"/>
  <printOptions horizontalCentered="1"/>
  <pageMargins left="0.70866141732283505" right="0.70866141732283505" top="0.74803149606299202" bottom="0.74803149606299202" header="0" footer="0"/>
  <pageSetup paperSize="5"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10" workbookViewId="0">
      <selection activeCell="B11" sqref="B11"/>
    </sheetView>
  </sheetViews>
  <sheetFormatPr defaultColWidth="14.44140625" defaultRowHeight="15" customHeight="1"/>
  <cols>
    <col min="1" max="1" width="5.44140625" customWidth="1"/>
    <col min="2" max="2" width="48.109375" customWidth="1"/>
    <col min="3" max="3" width="48.77734375" customWidth="1"/>
    <col min="4" max="26" width="9" customWidth="1"/>
  </cols>
  <sheetData>
    <row r="1" spans="1:26" ht="14.4">
      <c r="B1" s="1"/>
      <c r="C1" s="1"/>
    </row>
    <row r="2" spans="1:26" ht="14.4">
      <c r="A2" s="90" t="s">
        <v>21</v>
      </c>
      <c r="B2" s="91"/>
      <c r="C2" s="91"/>
    </row>
    <row r="3" spans="1:26" ht="14.4">
      <c r="B3" s="1"/>
      <c r="C3" s="1"/>
    </row>
    <row r="4" spans="1:26" ht="14.4">
      <c r="A4" s="90" t="s">
        <v>4</v>
      </c>
      <c r="B4" s="91"/>
      <c r="C4" s="91"/>
    </row>
    <row r="5" spans="1:26" ht="14.4">
      <c r="B5" s="1"/>
      <c r="C5" s="1"/>
    </row>
    <row r="6" spans="1:26" ht="31.5" customHeight="1">
      <c r="A6" s="92" t="s">
        <v>22</v>
      </c>
      <c r="B6" s="91"/>
      <c r="C6" s="91"/>
    </row>
    <row r="7" spans="1:26" ht="37.5" customHeight="1">
      <c r="A7" s="93" t="s">
        <v>40</v>
      </c>
      <c r="B7" s="91"/>
      <c r="C7" s="91"/>
      <c r="D7" s="1"/>
      <c r="E7" s="1"/>
      <c r="F7" s="1"/>
      <c r="G7" s="1"/>
      <c r="H7" s="1"/>
    </row>
    <row r="8" spans="1:26" ht="14.4">
      <c r="A8" s="94"/>
      <c r="B8" s="91"/>
      <c r="C8" s="91"/>
    </row>
    <row r="9" spans="1:26" ht="56.25" customHeight="1">
      <c r="A9" s="10" t="s">
        <v>0</v>
      </c>
      <c r="B9" s="11" t="s">
        <v>6</v>
      </c>
      <c r="C9" s="11" t="s">
        <v>7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</sheetData>
  <mergeCells count="5">
    <mergeCell ref="A2:C2"/>
    <mergeCell ref="A4:C4"/>
    <mergeCell ref="A6:C6"/>
    <mergeCell ref="A7:C7"/>
    <mergeCell ref="A8:C8"/>
  </mergeCells>
  <printOptions horizontalCentered="1"/>
  <pageMargins left="0.70866141732283505" right="0.70866141732283505" top="0.74803149606299202" bottom="0.74803149606299202" header="0" footer="0"/>
  <pageSetup paperSize="9" scale="75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1"/>
  <sheetViews>
    <sheetView topLeftCell="A4" workbookViewId="0">
      <selection activeCell="D13" sqref="D13"/>
    </sheetView>
  </sheetViews>
  <sheetFormatPr defaultColWidth="14.44140625" defaultRowHeight="15" customHeight="1"/>
  <cols>
    <col min="1" max="1" width="7.109375" customWidth="1"/>
    <col min="2" max="2" width="46.5546875" customWidth="1"/>
    <col min="3" max="3" width="40.44140625" customWidth="1"/>
    <col min="4" max="4" width="18.109375" customWidth="1"/>
    <col min="5" max="5" width="24.109375" customWidth="1"/>
    <col min="6" max="26" width="9" customWidth="1"/>
  </cols>
  <sheetData>
    <row r="1" spans="1:26" ht="14.4">
      <c r="A1" s="4"/>
      <c r="B1" s="21"/>
      <c r="C1" s="21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>
      <c r="A2" s="95" t="s">
        <v>23</v>
      </c>
      <c r="B2" s="96"/>
      <c r="C2" s="97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4">
      <c r="A3" s="4"/>
      <c r="B3" s="21"/>
      <c r="C3" s="21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4">
      <c r="A4" s="95" t="s">
        <v>4</v>
      </c>
      <c r="B4" s="96"/>
      <c r="C4" s="97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4">
      <c r="A5" s="4"/>
      <c r="B5" s="21"/>
      <c r="C5" s="21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1.5" customHeight="1">
      <c r="A6" s="98" t="s">
        <v>24</v>
      </c>
      <c r="B6" s="96"/>
      <c r="C6" s="97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99" t="s">
        <v>187</v>
      </c>
      <c r="B7" s="96"/>
      <c r="C7" s="97"/>
      <c r="D7" s="22"/>
      <c r="E7" s="21"/>
      <c r="F7" s="21"/>
      <c r="G7" s="21"/>
      <c r="H7" s="2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4">
      <c r="A8" s="100"/>
      <c r="B8" s="96"/>
      <c r="C8" s="97"/>
      <c r="D8" s="4"/>
      <c r="E8" s="40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56.25" customHeight="1">
      <c r="A9" s="140" t="s">
        <v>0</v>
      </c>
      <c r="B9" s="141" t="s">
        <v>6</v>
      </c>
      <c r="C9" s="141" t="s">
        <v>25</v>
      </c>
      <c r="D9" s="142" t="s">
        <v>8</v>
      </c>
      <c r="E9" s="41"/>
      <c r="F9" s="3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</sheetData>
  <mergeCells count="5">
    <mergeCell ref="A2:C2"/>
    <mergeCell ref="A4:C4"/>
    <mergeCell ref="A6:C6"/>
    <mergeCell ref="A7:C7"/>
    <mergeCell ref="A8:C8"/>
  </mergeCells>
  <printOptions horizontalCentered="1"/>
  <pageMargins left="0.70866141732283505" right="0.70866141732283505" top="0.74803149606299202" bottom="0.74803149606299202" header="0" footer="0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 OF JUNE</vt:lpstr>
      <vt:lpstr>APPLICANTS REGISTERED</vt:lpstr>
      <vt:lpstr>APPLICANTS REFERRED </vt:lpstr>
      <vt:lpstr>APPLICANTS PLACED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Khryll Joy</cp:lastModifiedBy>
  <dcterms:created xsi:type="dcterms:W3CDTF">2024-03-18T09:37:00Z</dcterms:created>
  <dcterms:modified xsi:type="dcterms:W3CDTF">2026-06-26T06:31:07Z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71AD71D99F614B05914AE695867C7A38_12</vt:lpwstr>
  </property>
  <property fmtid="{D5CDD505-2E9C-101B-9397-08002B2CF9AE}" pid="3" name="KSOProductBuildVer">
    <vt:lpwstr>1033-12.2.0.22549</vt:lpwstr>
  </property>
</Properties>
</file>